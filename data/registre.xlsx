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140F565D-4FC6-4B62-8A03-94846DEB1BD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CCUEIL" sheetId="3" r:id="rId1"/>
    <sheet name="VENTES" sheetId="1" r:id="rId2"/>
    <sheet name="MATERIAUX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2" i="1"/>
  <c r="Q4" i="1"/>
  <c r="C4" i="1" s="1"/>
  <c r="Q5" i="1"/>
  <c r="C5" i="1" s="1"/>
  <c r="D14" i="2"/>
  <c r="Q99" i="1"/>
  <c r="C99" i="1" s="1"/>
  <c r="Q100" i="1"/>
  <c r="C100" i="1" s="1"/>
  <c r="Q101" i="1"/>
  <c r="C101" i="1" s="1"/>
  <c r="Q102" i="1"/>
  <c r="C102" i="1" s="1"/>
  <c r="Q103" i="1"/>
  <c r="C103" i="1" s="1"/>
  <c r="Q104" i="1"/>
  <c r="C104" i="1" s="1"/>
  <c r="Q105" i="1"/>
  <c r="C105" i="1" s="1"/>
  <c r="Q106" i="1"/>
  <c r="C106" i="1" s="1"/>
  <c r="Q107" i="1"/>
  <c r="C107" i="1" s="1"/>
  <c r="Q108" i="1"/>
  <c r="C108" i="1" s="1"/>
  <c r="Q109" i="1"/>
  <c r="C109" i="1" s="1"/>
  <c r="Q110" i="1"/>
  <c r="C110" i="1" s="1"/>
  <c r="Q111" i="1"/>
  <c r="C111" i="1" s="1"/>
  <c r="Q112" i="1"/>
  <c r="C112" i="1" s="1"/>
  <c r="Q113" i="1"/>
  <c r="C113" i="1" s="1"/>
  <c r="Q114" i="1"/>
  <c r="C114" i="1" s="1"/>
  <c r="Q115" i="1"/>
  <c r="C115" i="1" s="1"/>
  <c r="Q116" i="1"/>
  <c r="C116" i="1" s="1"/>
  <c r="Q117" i="1"/>
  <c r="Q3" i="1"/>
  <c r="C3" i="1" s="1"/>
  <c r="Q6" i="1"/>
  <c r="C6" i="1" s="1"/>
  <c r="Q7" i="1"/>
  <c r="C7" i="1" s="1"/>
  <c r="Q8" i="1"/>
  <c r="C8" i="1" s="1"/>
  <c r="Q9" i="1"/>
  <c r="C9" i="1" s="1"/>
  <c r="Q10" i="1"/>
  <c r="C10" i="1" s="1"/>
  <c r="Q11" i="1"/>
  <c r="C11" i="1" s="1"/>
  <c r="Q31" i="1"/>
  <c r="C31" i="1" s="1"/>
  <c r="Q32" i="1"/>
  <c r="C32" i="1" s="1"/>
  <c r="Q33" i="1"/>
  <c r="C33" i="1" s="1"/>
  <c r="Q34" i="1"/>
  <c r="C34" i="1" s="1"/>
  <c r="Q35" i="1"/>
  <c r="C35" i="1" s="1"/>
  <c r="Q36" i="1"/>
  <c r="C36" i="1" s="1"/>
  <c r="Q37" i="1"/>
  <c r="C37" i="1" s="1"/>
  <c r="Q38" i="1"/>
  <c r="C38" i="1" s="1"/>
  <c r="Q39" i="1"/>
  <c r="C39" i="1" s="1"/>
  <c r="Q40" i="1"/>
  <c r="C40" i="1" s="1"/>
  <c r="Q41" i="1"/>
  <c r="C41" i="1" s="1"/>
  <c r="Q42" i="1"/>
  <c r="C42" i="1" s="1"/>
  <c r="Q43" i="1"/>
  <c r="C43" i="1" s="1"/>
  <c r="Q44" i="1"/>
  <c r="C44" i="1" s="1"/>
  <c r="Q45" i="1"/>
  <c r="C45" i="1" s="1"/>
  <c r="Q46" i="1"/>
  <c r="C46" i="1" s="1"/>
  <c r="Q49" i="1"/>
  <c r="C49" i="1" s="1"/>
  <c r="Q50" i="1"/>
  <c r="C50" i="1" s="1"/>
  <c r="Q51" i="1"/>
  <c r="C51" i="1" s="1"/>
  <c r="Q52" i="1"/>
  <c r="C52" i="1" s="1"/>
  <c r="Q53" i="1"/>
  <c r="C53" i="1" s="1"/>
  <c r="Q54" i="1"/>
  <c r="C54" i="1" s="1"/>
  <c r="Q55" i="1"/>
  <c r="C55" i="1" s="1"/>
  <c r="Q56" i="1"/>
  <c r="C56" i="1" s="1"/>
  <c r="Q57" i="1"/>
  <c r="C57" i="1" s="1"/>
  <c r="Q58" i="1"/>
  <c r="C58" i="1" s="1"/>
  <c r="Q59" i="1"/>
  <c r="C59" i="1" s="1"/>
  <c r="Q60" i="1"/>
  <c r="C60" i="1" s="1"/>
  <c r="Q61" i="1"/>
  <c r="C61" i="1" s="1"/>
  <c r="Q62" i="1"/>
  <c r="C62" i="1" s="1"/>
  <c r="Q63" i="1"/>
  <c r="C63" i="1" s="1"/>
  <c r="Q66" i="1"/>
  <c r="C66" i="1" s="1"/>
  <c r="Q70" i="1"/>
  <c r="C70" i="1" s="1"/>
  <c r="Q80" i="1"/>
  <c r="C80" i="1" s="1"/>
  <c r="Q81" i="1"/>
  <c r="C81" i="1" s="1"/>
  <c r="Q83" i="1"/>
  <c r="C83" i="1" s="1"/>
  <c r="Q89" i="1"/>
  <c r="C89" i="1" s="1"/>
  <c r="Q90" i="1"/>
  <c r="C90" i="1" s="1"/>
  <c r="Q91" i="1"/>
  <c r="C91" i="1" s="1"/>
  <c r="Q92" i="1"/>
  <c r="C92" i="1" s="1"/>
  <c r="Q93" i="1"/>
  <c r="C93" i="1" s="1"/>
  <c r="Q94" i="1"/>
  <c r="C94" i="1" s="1"/>
  <c r="Q95" i="1"/>
  <c r="C95" i="1" s="1"/>
  <c r="Q96" i="1"/>
  <c r="C96" i="1" s="1"/>
  <c r="Q97" i="1"/>
  <c r="C97" i="1" s="1"/>
  <c r="Q98" i="1"/>
  <c r="C98" i="1" s="1"/>
  <c r="Q2" i="1"/>
  <c r="C2" i="1" s="1"/>
  <c r="D3" i="2"/>
  <c r="D4" i="2"/>
  <c r="D5" i="2"/>
  <c r="D6" i="2"/>
  <c r="D7" i="2"/>
  <c r="D8" i="2"/>
  <c r="D9" i="2"/>
  <c r="D10" i="2"/>
  <c r="D11" i="2"/>
  <c r="Q86" i="1" s="1"/>
  <c r="C86" i="1" s="1"/>
  <c r="D12" i="2"/>
  <c r="D13" i="2"/>
  <c r="D2" i="2"/>
  <c r="Q75" i="1" l="1"/>
  <c r="C75" i="1" s="1"/>
  <c r="Q47" i="1"/>
  <c r="C47" i="1" s="1"/>
  <c r="Q48" i="1"/>
  <c r="C48" i="1" s="1"/>
  <c r="Q68" i="1"/>
  <c r="C68" i="1" s="1"/>
  <c r="Q69" i="1"/>
  <c r="C69" i="1" s="1"/>
  <c r="Q64" i="1"/>
  <c r="C64" i="1" s="1"/>
  <c r="Q85" i="1"/>
  <c r="C85" i="1" s="1"/>
  <c r="D85" i="1" s="1"/>
  <c r="Q72" i="1"/>
  <c r="C72" i="1" s="1"/>
  <c r="Q73" i="1"/>
  <c r="C73" i="1" s="1"/>
  <c r="Q12" i="1"/>
  <c r="C12" i="1" s="1"/>
  <c r="Q13" i="1"/>
  <c r="C13" i="1" s="1"/>
  <c r="Q14" i="1"/>
  <c r="C14" i="1" s="1"/>
  <c r="Q15" i="1"/>
  <c r="C15" i="1" s="1"/>
  <c r="Q16" i="1"/>
  <c r="C16" i="1" s="1"/>
  <c r="Q17" i="1"/>
  <c r="C17" i="1" s="1"/>
  <c r="Q18" i="1"/>
  <c r="C18" i="1" s="1"/>
  <c r="Q19" i="1"/>
  <c r="C19" i="1" s="1"/>
  <c r="Q20" i="1"/>
  <c r="C20" i="1" s="1"/>
  <c r="Q21" i="1"/>
  <c r="C21" i="1" s="1"/>
  <c r="Q22" i="1"/>
  <c r="C22" i="1" s="1"/>
  <c r="Q23" i="1"/>
  <c r="C23" i="1" s="1"/>
  <c r="Q24" i="1"/>
  <c r="C24" i="1" s="1"/>
  <c r="Q25" i="1"/>
  <c r="C25" i="1" s="1"/>
  <c r="Q26" i="1"/>
  <c r="C26" i="1" s="1"/>
  <c r="Q27" i="1"/>
  <c r="C27" i="1" s="1"/>
  <c r="Q28" i="1"/>
  <c r="C28" i="1" s="1"/>
  <c r="Q29" i="1"/>
  <c r="C29" i="1" s="1"/>
  <c r="Q30" i="1"/>
  <c r="C30" i="1" s="1"/>
  <c r="Q65" i="1"/>
  <c r="C65" i="1" s="1"/>
  <c r="Q79" i="1"/>
  <c r="C79" i="1" s="1"/>
  <c r="Q84" i="1"/>
  <c r="C84" i="1" s="1"/>
  <c r="Q67" i="1"/>
  <c r="C67" i="1" s="1"/>
  <c r="Q71" i="1"/>
  <c r="C71" i="1" s="1"/>
  <c r="Q74" i="1"/>
  <c r="C74" i="1" s="1"/>
  <c r="Q76" i="1"/>
  <c r="C76" i="1" s="1"/>
  <c r="Q77" i="1"/>
  <c r="C77" i="1" s="1"/>
  <c r="Q78" i="1"/>
  <c r="C78" i="1" s="1"/>
  <c r="Q82" i="1"/>
  <c r="C82" i="1" s="1"/>
  <c r="Q87" i="1"/>
  <c r="C87" i="1" s="1"/>
  <c r="Q88" i="1"/>
  <c r="C88" i="1" s="1"/>
</calcChain>
</file>

<file path=xl/sharedStrings.xml><?xml version="1.0" encoding="utf-8"?>
<sst xmlns="http://schemas.openxmlformats.org/spreadsheetml/2006/main" count="343" uniqueCount="131">
  <si>
    <t>Bienvenue sur le registre Exhaustif des Objets et Matériaux</t>
  </si>
  <si>
    <t>Que contient le registre ?</t>
  </si>
  <si>
    <t>Pourquoi deux pages ?</t>
  </si>
  <si>
    <t>Comment utiliser le registre ?</t>
  </si>
  <si>
    <t>Comment ça marche ?</t>
  </si>
  <si>
    <t>Ce registre contient 2 pages :
"VENTES"qui contient l'ensemble des objets pouvant êtres fabriqués au métier à tisser, leur prix recommandé, les matériaux requis, la somme du prix des matériaux.
"MATERIAUX" la liste des matériaux utilisés par la couture, les prix d'achats, et le prorata par la quantité</t>
  </si>
  <si>
    <t>Avoir 2 pages distinctes permet de retrouver plus facilement les objets et permet de structurer les calculs pour une utilisation plus facile</t>
  </si>
  <si>
    <t>Vous pouvez dans la page "VENTES" utiliser ctrl+f pour effectuer une recherche d'un objet souhaité.
Vous pouvez dans la page "MATERIAUX" vérifier les prix de rachat classique</t>
  </si>
  <si>
    <t>La colonne "Cout de création" reprend les éléments précédents et effectue le calcul avec les prix présents dans la page matériaux en multipliant par la quantité nécessaire pour créer l'objet.</t>
  </si>
  <si>
    <t>J'espère que ce registre vous sera utile bon jeu à tous ^^</t>
  </si>
  <si>
    <t>Réalisé par Ja'Zidir</t>
  </si>
  <si>
    <t>Avec la participation de Za'Saad</t>
  </si>
  <si>
    <t>Objet</t>
  </si>
  <si>
    <t>Prix de vente</t>
  </si>
  <si>
    <t>Marge</t>
  </si>
  <si>
    <t>% de marge</t>
  </si>
  <si>
    <t>Materiel 1</t>
  </si>
  <si>
    <t>Quantitée 1</t>
  </si>
  <si>
    <t>Materiel 2</t>
  </si>
  <si>
    <t>Quantitée 2</t>
  </si>
  <si>
    <t>Materiel 3</t>
  </si>
  <si>
    <t>Quantitée 3</t>
  </si>
  <si>
    <t>Materiel 4</t>
  </si>
  <si>
    <t>Quantitée 4</t>
  </si>
  <si>
    <t>Materiel 5</t>
  </si>
  <si>
    <t>Quantitée 5</t>
  </si>
  <si>
    <t>Materiel 6</t>
  </si>
  <si>
    <t>Quantitée 6</t>
  </si>
  <si>
    <t>Cout de création</t>
  </si>
  <si>
    <t>Bandages de pieds</t>
  </si>
  <si>
    <t>Fil</t>
  </si>
  <si>
    <t>Bottes</t>
  </si>
  <si>
    <t>Cuir</t>
  </si>
  <si>
    <t>Bottes raffinées</t>
  </si>
  <si>
    <t>Chaussures</t>
  </si>
  <si>
    <t>Priest Sandals</t>
  </si>
  <si>
    <t>Common Clothes</t>
  </si>
  <si>
    <t>Coton</t>
  </si>
  <si>
    <t>Common robes</t>
  </si>
  <si>
    <t>Fine Clothes</t>
  </si>
  <si>
    <t>Fine Clothes Arcana</t>
  </si>
  <si>
    <t>Argent</t>
  </si>
  <si>
    <t>Or</t>
  </si>
  <si>
    <t>Fine Clothes Aureate Death</t>
  </si>
  <si>
    <t>Fine Clothes Bardic</t>
  </si>
  <si>
    <t>Fine Clothes Blood Moon</t>
  </si>
  <si>
    <t>Fine Clothes Blood Pact</t>
  </si>
  <si>
    <t>Fine Clothes Blue Moon</t>
  </si>
  <si>
    <t>Fine Clothes Burnished</t>
  </si>
  <si>
    <t>Fine Clothes Charcoal</t>
  </si>
  <si>
    <t>Fine Clothes Darkmoon</t>
  </si>
  <si>
    <t>Fine Clothes Deepwood</t>
  </si>
  <si>
    <t>Fine Clothes Fuscia</t>
  </si>
  <si>
    <t>Fine Clothes Ilinalta</t>
  </si>
  <si>
    <t>Fine Clothes Poison Ivy</t>
  </si>
  <si>
    <t>Fine Clothes Red Violet</t>
  </si>
  <si>
    <t>Fine Clothes Seashell</t>
  </si>
  <si>
    <t>Fine Clothes Spring Pink</t>
  </si>
  <si>
    <t>Fine Clothes Ulvenwald</t>
  </si>
  <si>
    <t>Fine Clothes Violet Kiss</t>
  </si>
  <si>
    <t>Fine Clothes Wolfsbane</t>
  </si>
  <si>
    <t>Habit de taverne</t>
  </si>
  <si>
    <t>Heavy Quilted Surcoat 01</t>
  </si>
  <si>
    <t>Hooded Monk Tunic</t>
  </si>
  <si>
    <t>Hooded Necromancer Robes</t>
  </si>
  <si>
    <t>Monk Tunic</t>
  </si>
  <si>
    <t>Necormancer Robes</t>
  </si>
  <si>
    <t>Pantalon usé</t>
  </si>
  <si>
    <t>Quilted Surcoat 01</t>
  </si>
  <si>
    <t>Quilted Surcoat 02</t>
  </si>
  <si>
    <t>Quilted Tunic</t>
  </si>
  <si>
    <t>Quilted Tunic and Green Robes</t>
  </si>
  <si>
    <t>Quilted Tunic and White Robes</t>
  </si>
  <si>
    <t>Quilted Tunic with Surcoat</t>
  </si>
  <si>
    <t>Robe (Bleu, Moine, Grise, Marron, Noire, Rouge, Verte, usée)</t>
  </si>
  <si>
    <t>Robe à Capuchon (Bleu, Moine, Grise, Marron, Noire, Rouge, Verte, usée)</t>
  </si>
  <si>
    <t>Tablier de Forgeron</t>
  </si>
  <si>
    <t>Traveller Robes (Noir, Marron, Gris, Rouge, Tan)</t>
  </si>
  <si>
    <t>Bandes de cuir</t>
  </si>
  <si>
    <t>Traveller Robes Hooded (Noir, Marron, Gris, Rouge, Tan)</t>
  </si>
  <si>
    <t>Tunique avec ceinture</t>
  </si>
  <si>
    <t>Tunique de cuisinier</t>
  </si>
  <si>
    <t>Tunique de jute</t>
  </si>
  <si>
    <t>Vêtements</t>
  </si>
  <si>
    <t>Vêtements (Léger colorés similaire tavernier)</t>
  </si>
  <si>
    <t>&lt;</t>
  </si>
  <si>
    <t>Vêtements raffinés</t>
  </si>
  <si>
    <t>Cowl (Noir, Bleu, Marron, Vert, Gris, Monk, Rouge, Necromancer)</t>
  </si>
  <si>
    <t>Bonnet usé</t>
  </si>
  <si>
    <t>Capuche</t>
  </si>
  <si>
    <t>Chapeau</t>
  </si>
  <si>
    <t>Chapeau de deuil</t>
  </si>
  <si>
    <t>Chapeau raffiné</t>
  </si>
  <si>
    <t>Toque de cuisinier</t>
  </si>
  <si>
    <t>Robe de fille (Gris, Bleu, Jaune, Rouge, Vert)</t>
  </si>
  <si>
    <t>Tunique de garçon (Bleu, Gris, Jaune, Rouge, Vert)</t>
  </si>
  <si>
    <t>Exquisite Cloak (Rouge, Noir)</t>
  </si>
  <si>
    <t>Vif Argent</t>
  </si>
  <si>
    <t>Exquisite Cloak (Vert, Blanc)</t>
  </si>
  <si>
    <t>Fastened Scarf</t>
  </si>
  <si>
    <t>Gathered Scarf</t>
  </si>
  <si>
    <t>Fer</t>
  </si>
  <si>
    <t>Loose Neck Gaiter Noir</t>
  </si>
  <si>
    <t>Loose Neck Gaiter Blanc et Gris</t>
  </si>
  <si>
    <t>Patchwork Satchel</t>
  </si>
  <si>
    <t>Quilted Mantle</t>
  </si>
  <si>
    <t>Reinforced Backpack Marron foncé</t>
  </si>
  <si>
    <t>Corindon raffiné</t>
  </si>
  <si>
    <t>Reinforced Backpack Marron clair</t>
  </si>
  <si>
    <t>Reinforced Backpack Gris et Gris foncé</t>
  </si>
  <si>
    <t>Reinforced Backpack &amp; Lantern Gris</t>
  </si>
  <si>
    <t>Petit bois</t>
  </si>
  <si>
    <t>Reinforced Backpack &amp; Lantern Marron et Noir</t>
  </si>
  <si>
    <t>Reinforced Backpack &amp; Lantern Marron Foncé</t>
  </si>
  <si>
    <t>Reinforced Mantle</t>
  </si>
  <si>
    <t>Reinforced Satchel</t>
  </si>
  <si>
    <t>Rugged Cape</t>
  </si>
  <si>
    <t>Rugged Mask</t>
  </si>
  <si>
    <t>Short Cloth Cape</t>
  </si>
  <si>
    <t>Short Woven Scarf</t>
  </si>
  <si>
    <t>Sturdy Pouch (Left, Right)</t>
  </si>
  <si>
    <t>Toothlock Satchel</t>
  </si>
  <si>
    <t>Dent de smilodon</t>
  </si>
  <si>
    <t>Trader's Resource</t>
  </si>
  <si>
    <t>Trader's Resource &amp; Lantern</t>
  </si>
  <si>
    <t>Prix d'achat</t>
  </si>
  <si>
    <t>Quantitée</t>
  </si>
  <si>
    <t>Prix à l'unitée</t>
  </si>
  <si>
    <t>Lys des Cimes</t>
  </si>
  <si>
    <t>Petit Bois</t>
  </si>
  <si>
    <t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</si>
</sst>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/>
    <xf numFmtId="0" fontId="5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4801-E0BB-41B5-B2EC-FA0C794FA1AE}">
  <dimension ref="A1:Z21"/>
  <sheetViews>
    <sheetView workbookViewId="0">
      <selection activeCell="K3" sqref="K3"/>
    </sheetView>
  </sheetViews>
  <sheetFormatPr defaultRowHeight="15"/>
  <cols>
    <col min="5" max="5" width="18.5703125" customWidth="1"/>
    <col min="10" max="10" width="18.5703125" customWidth="1"/>
    <col min="15" max="15" width="18.5703125" customWidth="1"/>
    <col min="20" max="20" width="18.5703125" customWidth="1"/>
    <col min="21" max="21" width="3.140625" customWidth="1"/>
    <col min="22" max="22" width="3.85546875" customWidth="1"/>
    <col min="23" max="23" width="3.140625" customWidth="1"/>
    <col min="24" max="24" width="3.28515625" customWidth="1"/>
    <col min="25" max="25" width="3" customWidth="1"/>
  </cols>
  <sheetData>
    <row r="1" spans="1:26" ht="69.7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8"/>
      <c r="V1" s="8"/>
      <c r="W1" s="8"/>
      <c r="X1" s="8"/>
      <c r="Y1" s="8"/>
      <c r="Z1" s="7"/>
    </row>
    <row r="2" spans="1:26" ht="21">
      <c r="A2" s="18" t="s">
        <v>1</v>
      </c>
      <c r="B2" s="18"/>
      <c r="C2" s="18"/>
      <c r="D2" s="18"/>
      <c r="E2" s="18"/>
      <c r="F2" s="18" t="s">
        <v>2</v>
      </c>
      <c r="G2" s="18"/>
      <c r="H2" s="18"/>
      <c r="I2" s="18"/>
      <c r="J2" s="18"/>
      <c r="K2" s="18" t="s">
        <v>3</v>
      </c>
      <c r="L2" s="18"/>
      <c r="M2" s="18"/>
      <c r="N2" s="18"/>
      <c r="O2" s="18"/>
      <c r="P2" s="18" t="s">
        <v>4</v>
      </c>
      <c r="Q2" s="18"/>
      <c r="R2" s="18"/>
      <c r="S2" s="18"/>
      <c r="T2" s="18"/>
      <c r="U2" s="9"/>
      <c r="V2" s="9"/>
      <c r="W2" s="9"/>
      <c r="X2" s="9"/>
      <c r="Y2" s="9"/>
    </row>
    <row r="3" spans="1:26" ht="15" customHeight="1">
      <c r="A3" s="17" t="s">
        <v>5</v>
      </c>
      <c r="B3" s="17"/>
      <c r="C3" s="17"/>
      <c r="D3" s="17"/>
      <c r="E3" s="17"/>
      <c r="F3" s="17" t="s">
        <v>6</v>
      </c>
      <c r="G3" s="17"/>
      <c r="H3" s="17"/>
      <c r="I3" s="17"/>
      <c r="J3" s="17"/>
      <c r="K3" s="17" t="s">
        <v>7</v>
      </c>
      <c r="L3" s="17"/>
      <c r="M3" s="17"/>
      <c r="N3" s="17"/>
      <c r="O3" s="17"/>
      <c r="P3" s="17" t="s">
        <v>8</v>
      </c>
      <c r="Q3" s="17"/>
      <c r="R3" s="17"/>
      <c r="S3" s="17"/>
      <c r="T3" s="17"/>
      <c r="U3" s="10"/>
      <c r="V3" s="10"/>
      <c r="W3" s="10"/>
      <c r="X3" s="10"/>
      <c r="Y3" s="10"/>
    </row>
    <row r="4" spans="1:26" ht="1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0"/>
      <c r="V4" s="10"/>
      <c r="W4" s="10"/>
      <c r="X4" s="10"/>
      <c r="Y4" s="10"/>
    </row>
    <row r="5" spans="1:26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0"/>
      <c r="V5" s="10"/>
      <c r="W5" s="10"/>
      <c r="X5" s="10"/>
      <c r="Y5" s="10"/>
    </row>
    <row r="6" spans="1:26" ht="1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0"/>
      <c r="V6" s="10"/>
      <c r="W6" s="10"/>
      <c r="X6" s="10"/>
      <c r="Y6" s="10"/>
    </row>
    <row r="7" spans="1:26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0"/>
      <c r="V7" s="10"/>
      <c r="W7" s="10"/>
      <c r="X7" s="10"/>
      <c r="Y7" s="10"/>
    </row>
    <row r="8" spans="1:26" ht="1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0"/>
      <c r="V8" s="10"/>
      <c r="W8" s="10"/>
      <c r="X8" s="10"/>
      <c r="Y8" s="10"/>
    </row>
    <row r="9" spans="1:26" ht="1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0"/>
      <c r="V9" s="10"/>
      <c r="W9" s="10"/>
      <c r="X9" s="10"/>
      <c r="Y9" s="10"/>
    </row>
    <row r="10" spans="1:26" ht="1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0"/>
      <c r="V10" s="10"/>
      <c r="W10" s="10"/>
      <c r="X10" s="10"/>
      <c r="Y10" s="10"/>
    </row>
    <row r="11" spans="1:26" ht="1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0"/>
      <c r="V11" s="10"/>
      <c r="W11" s="10"/>
      <c r="X11" s="10"/>
      <c r="Y11" s="10"/>
    </row>
    <row r="12" spans="1:26" ht="1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0"/>
      <c r="V12" s="10"/>
      <c r="W12" s="10"/>
      <c r="X12" s="10"/>
      <c r="Y12" s="10"/>
    </row>
    <row r="13" spans="1:26" ht="1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0"/>
      <c r="V13" s="10"/>
      <c r="W13" s="10"/>
      <c r="X13" s="10"/>
      <c r="Y13" s="10"/>
    </row>
    <row r="14" spans="1:26" ht="1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0"/>
      <c r="V14" s="10"/>
      <c r="W14" s="10"/>
      <c r="X14" s="10"/>
      <c r="Y14" s="10"/>
    </row>
    <row r="15" spans="1:26" ht="1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0"/>
      <c r="V15" s="10"/>
      <c r="W15" s="10"/>
      <c r="X15" s="10"/>
      <c r="Y15" s="10"/>
    </row>
    <row r="16" spans="1:26" ht="69.75" customHeight="1">
      <c r="A16" s="16" t="s">
        <v>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  <c r="V16" s="8"/>
      <c r="W16" s="8"/>
      <c r="X16" s="8"/>
      <c r="Y16" s="8"/>
    </row>
    <row r="17" spans="1:25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1" t="s">
        <v>10</v>
      </c>
      <c r="R18" s="8"/>
      <c r="S18" s="8"/>
      <c r="T18" s="8"/>
      <c r="U18" s="8"/>
      <c r="V18" s="8"/>
      <c r="W18" s="8"/>
      <c r="X18" s="8"/>
      <c r="Y18" s="8"/>
    </row>
    <row r="19" spans="1:25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2" t="s">
        <v>11</v>
      </c>
      <c r="R20" s="8"/>
      <c r="S20" s="8"/>
      <c r="T20" s="8"/>
      <c r="U20" s="8"/>
      <c r="V20" s="8"/>
      <c r="W20" s="8"/>
      <c r="X20" s="8"/>
      <c r="Y20" s="8"/>
    </row>
    <row r="21" spans="1:25" ht="14.25" customHeight="1">
      <c r="A21" s="8"/>
      <c r="B21" s="8"/>
      <c r="C21" s="8"/>
      <c r="D21" s="8"/>
      <c r="E21" s="11"/>
      <c r="F21" s="8"/>
      <c r="G21" s="8"/>
      <c r="H21" s="8"/>
      <c r="I21" s="8"/>
      <c r="J21" s="1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</sheetData>
  <sheetProtection algorithmName="SHA-512" hashValue="yDk17jI2PIboYYTuxEPFgob08TXUK6CBJkeVvofs1iC1H0HTX77GFXd7RMD8qB2yMKYsQvl1O0ovtCFvW3UlXQ==" saltValue="lXJ1EGcYLMin9acESC7O8A==" spinCount="100000" sheet="1" objects="1" scenarios="1"/>
  <mergeCells count="10">
    <mergeCell ref="A2:E2"/>
    <mergeCell ref="F2:J2"/>
    <mergeCell ref="K2:O2"/>
    <mergeCell ref="P2:T2"/>
    <mergeCell ref="A1:T1"/>
    <mergeCell ref="A16:T16"/>
    <mergeCell ref="A3:E15"/>
    <mergeCell ref="F3:J15"/>
    <mergeCell ref="K3:O15"/>
    <mergeCell ref="P3:T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6"/>
  <sheetViews>
    <sheetView tabSelected="1" topLeftCell="A50" workbookViewId="0">
      <selection activeCell="B84" sqref="B84"/>
    </sheetView>
  </sheetViews>
  <sheetFormatPr defaultRowHeight="15"/>
  <cols>
    <col min="1" max="1" width="66.42578125" customWidth="1"/>
    <col min="2" max="4" width="17.42578125" customWidth="1"/>
    <col min="5" max="5" width="19" customWidth="1"/>
    <col min="6" max="6" width="15.42578125" customWidth="1"/>
    <col min="7" max="7" width="17.5703125" customWidth="1"/>
    <col min="8" max="8" width="15.42578125" customWidth="1"/>
    <col min="9" max="9" width="21.5703125" customWidth="1"/>
    <col min="10" max="10" width="15.42578125" customWidth="1"/>
    <col min="11" max="11" width="18.7109375" customWidth="1"/>
    <col min="12" max="12" width="15.42578125" customWidth="1"/>
    <col min="13" max="13" width="21.42578125" customWidth="1"/>
    <col min="14" max="14" width="15.42578125" customWidth="1"/>
    <col min="15" max="15" width="23.85546875" customWidth="1"/>
    <col min="16" max="16" width="15.42578125" customWidth="1"/>
    <col min="17" max="17" width="28.85546875" customWidth="1"/>
    <col min="20" max="20" width="38.140625" customWidth="1"/>
  </cols>
  <sheetData>
    <row r="1" spans="1:19" ht="24.75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3"/>
      <c r="S1" s="3"/>
    </row>
    <row r="2" spans="1:19" ht="18.75">
      <c r="A2" s="5" t="s">
        <v>29</v>
      </c>
      <c r="B2" s="6">
        <v>20</v>
      </c>
      <c r="C2" s="6">
        <f>B2-Q2</f>
        <v>19.666666666666668</v>
      </c>
      <c r="D2" s="15">
        <f>(C2/Q2)</f>
        <v>59.000000000000007</v>
      </c>
      <c r="E2" s="5" t="s">
        <v>30</v>
      </c>
      <c r="F2" s="5">
        <v>1</v>
      </c>
      <c r="G2" s="5"/>
      <c r="H2" s="5"/>
      <c r="I2" s="5"/>
      <c r="J2" s="5"/>
      <c r="K2" s="5"/>
      <c r="L2" s="5"/>
      <c r="M2" s="5"/>
      <c r="N2" s="5"/>
      <c r="O2" s="5"/>
      <c r="P2" s="5"/>
      <c r="Q2" s="6">
        <f>SUM(
IFERROR(VLOOKUP(E2,MATERIAUX!$A$1:$D$27,4,FALSE)*F2,0),
IFERROR(VLOOKUP(G2,MATERIAUX!$A$1:$D$27,4,FALSE)*H2,0),
IFERROR(VLOOKUP(I2,MATERIAUX!$A$1:$D$27,4,FALSE)*J2,0),
IFERROR(VLOOKUP(K2,MATERIAUX!$A$1:$D$27,4,FALSE)*L2,0),
IFERROR(VLOOKUP(M2,MATERIAUX!$A$1:$D$27,4,FALSE)*N2,0),
IFERROR(VLOOKUP(O2,MATERIAUX!$A$1:$D$27,4,FALSE)*P2,0)
)</f>
        <v>0.33333333333333331</v>
      </c>
      <c r="R2" s="3"/>
      <c r="S2" s="3"/>
    </row>
    <row r="3" spans="1:19" ht="18.75">
      <c r="A3" s="5" t="s">
        <v>31</v>
      </c>
      <c r="B3" s="6">
        <v>20</v>
      </c>
      <c r="C3" s="6">
        <f t="shared" ref="C3:C66" si="0">B3-Q3</f>
        <v>16.666666666666668</v>
      </c>
      <c r="D3" s="15">
        <f t="shared" ref="D3:D66" si="1">(C3/Q3)</f>
        <v>5</v>
      </c>
      <c r="E3" s="5" t="s">
        <v>30</v>
      </c>
      <c r="F3" s="5">
        <v>1</v>
      </c>
      <c r="G3" s="5" t="s">
        <v>32</v>
      </c>
      <c r="H3" s="5">
        <v>1</v>
      </c>
      <c r="I3" s="5"/>
      <c r="J3" s="5"/>
      <c r="K3" s="5"/>
      <c r="L3" s="5"/>
      <c r="M3" s="5"/>
      <c r="N3" s="5"/>
      <c r="O3" s="5"/>
      <c r="P3" s="5"/>
      <c r="Q3" s="6">
        <f>SUM(
IFERROR(VLOOKUP(E3,MATERIAUX!$A$1:$D$27,4,FALSE)*F3,0),
IFERROR(VLOOKUP(G3,MATERIAUX!$A$1:$D$27,4,FALSE)*H3,0),
IFERROR(VLOOKUP(I3,MATERIAUX!$A$1:$D$27,4,FALSE)*J3,0),
IFERROR(VLOOKUP(K3,MATERIAUX!$A$1:$D$27,4,FALSE)*L3,0),
IFERROR(VLOOKUP(M3,MATERIAUX!$A$1:$D$27,4,FALSE)*N3,0),
IFERROR(VLOOKUP(O3,MATERIAUX!$A$1:$D$27,4,FALSE)*P3,0)
)</f>
        <v>3.3333333333333335</v>
      </c>
      <c r="R3" s="3"/>
      <c r="S3" s="3"/>
    </row>
    <row r="4" spans="1:19" ht="18.75">
      <c r="A4" s="5" t="s">
        <v>31</v>
      </c>
      <c r="B4" s="6">
        <v>20</v>
      </c>
      <c r="C4" s="6">
        <f t="shared" si="0"/>
        <v>13.333333333333332</v>
      </c>
      <c r="D4" s="15">
        <f t="shared" si="1"/>
        <v>1.9999999999999998</v>
      </c>
      <c r="E4" s="5" t="s">
        <v>30</v>
      </c>
      <c r="F4" s="5">
        <v>2</v>
      </c>
      <c r="G4" s="5" t="s">
        <v>32</v>
      </c>
      <c r="H4" s="5">
        <v>2</v>
      </c>
      <c r="I4" s="5"/>
      <c r="J4" s="5"/>
      <c r="K4" s="5"/>
      <c r="L4" s="5"/>
      <c r="M4" s="5"/>
      <c r="N4" s="5"/>
      <c r="O4" s="5"/>
      <c r="P4" s="5"/>
      <c r="Q4" s="6">
        <f>SUM(
IFERROR(VLOOKUP(E4,MATERIAUX!$A$1:$D$27,4,FALSE)*F4,0),
IFERROR(VLOOKUP(G4,MATERIAUX!$A$1:$D$27,4,FALSE)*H4,0),
IFERROR(VLOOKUP(I4,MATERIAUX!$A$1:$D$27,4,FALSE)*J4,0),
IFERROR(VLOOKUP(K4,MATERIAUX!$A$1:$D$27,4,FALSE)*L4,0),
IFERROR(VLOOKUP(M4,MATERIAUX!$A$1:$D$27,4,FALSE)*N4,0),
IFERROR(VLOOKUP(O4,MATERIAUX!$A$1:$D$27,4,FALSE)*P4,0)
)</f>
        <v>6.666666666666667</v>
      </c>
      <c r="R4" s="3"/>
      <c r="S4" s="3"/>
    </row>
    <row r="5" spans="1:19" ht="18.75">
      <c r="A5" s="5" t="s">
        <v>31</v>
      </c>
      <c r="B5" s="6">
        <v>20</v>
      </c>
      <c r="C5" s="6">
        <f t="shared" si="0"/>
        <v>13.666666666666668</v>
      </c>
      <c r="D5" s="15">
        <f t="shared" si="1"/>
        <v>2.1578947368421058</v>
      </c>
      <c r="E5" s="5" t="s">
        <v>30</v>
      </c>
      <c r="F5" s="5">
        <v>1</v>
      </c>
      <c r="G5" s="5" t="s">
        <v>32</v>
      </c>
      <c r="H5" s="5">
        <v>2</v>
      </c>
      <c r="I5" s="5"/>
      <c r="J5" s="5"/>
      <c r="K5" s="5"/>
      <c r="L5" s="5"/>
      <c r="M5" s="5"/>
      <c r="N5" s="5"/>
      <c r="O5" s="5"/>
      <c r="P5" s="5"/>
      <c r="Q5" s="6">
        <f>SUM(
IFERROR(VLOOKUP(E5,MATERIAUX!$A$1:$D$27,4,FALSE)*F5,0),
IFERROR(VLOOKUP(G5,MATERIAUX!$A$1:$D$27,4,FALSE)*H5,0),
IFERROR(VLOOKUP(I5,MATERIAUX!$A$1:$D$27,4,FALSE)*J5,0),
IFERROR(VLOOKUP(K5,MATERIAUX!$A$1:$D$27,4,FALSE)*L5,0),
IFERROR(VLOOKUP(M5,MATERIAUX!$A$1:$D$27,4,FALSE)*N5,0),
IFERROR(VLOOKUP(O5,MATERIAUX!$A$1:$D$27,4,FALSE)*P5,0)
)</f>
        <v>6.333333333333333</v>
      </c>
      <c r="R5" s="3"/>
      <c r="S5" s="3"/>
    </row>
    <row r="6" spans="1:19" ht="18.75">
      <c r="A6" s="5" t="s">
        <v>33</v>
      </c>
      <c r="B6" s="6">
        <v>20</v>
      </c>
      <c r="C6" s="6">
        <f t="shared" si="0"/>
        <v>13</v>
      </c>
      <c r="D6" s="15">
        <f t="shared" si="1"/>
        <v>1.8571428571428572</v>
      </c>
      <c r="E6" s="5" t="s">
        <v>30</v>
      </c>
      <c r="F6" s="5">
        <v>3</v>
      </c>
      <c r="G6" s="5" t="s">
        <v>32</v>
      </c>
      <c r="H6" s="5">
        <v>2</v>
      </c>
      <c r="I6" s="5"/>
      <c r="J6" s="5"/>
      <c r="K6" s="5"/>
      <c r="L6" s="5"/>
      <c r="M6" s="5"/>
      <c r="N6" s="5"/>
      <c r="O6" s="5"/>
      <c r="P6" s="5"/>
      <c r="Q6" s="6">
        <f>SUM(
IFERROR(VLOOKUP(E6,MATERIAUX!$A$1:$D$27,4,FALSE)*F6,0),
IFERROR(VLOOKUP(G6,MATERIAUX!$A$1:$D$27,4,FALSE)*H6,0),
IFERROR(VLOOKUP(I6,MATERIAUX!$A$1:$D$27,4,FALSE)*J6,0),
IFERROR(VLOOKUP(K6,MATERIAUX!$A$1:$D$27,4,FALSE)*L6,0),
IFERROR(VLOOKUP(M6,MATERIAUX!$A$1:$D$27,4,FALSE)*N6,0),
IFERROR(VLOOKUP(O6,MATERIAUX!$A$1:$D$27,4,FALSE)*P6,0)
)</f>
        <v>7</v>
      </c>
      <c r="R6" s="3"/>
      <c r="S6" s="3"/>
    </row>
    <row r="7" spans="1:19" ht="18.75">
      <c r="A7" s="5" t="s">
        <v>34</v>
      </c>
      <c r="B7" s="6">
        <v>20</v>
      </c>
      <c r="C7" s="6">
        <f t="shared" si="0"/>
        <v>16.666666666666668</v>
      </c>
      <c r="D7" s="15">
        <f t="shared" si="1"/>
        <v>5</v>
      </c>
      <c r="E7" s="5" t="s">
        <v>30</v>
      </c>
      <c r="F7" s="5">
        <v>1</v>
      </c>
      <c r="G7" s="5" t="s">
        <v>32</v>
      </c>
      <c r="H7" s="5">
        <v>1</v>
      </c>
      <c r="I7" s="5"/>
      <c r="J7" s="5"/>
      <c r="K7" s="5"/>
      <c r="L7" s="5"/>
      <c r="M7" s="5"/>
      <c r="N7" s="5"/>
      <c r="O7" s="5"/>
      <c r="P7" s="5"/>
      <c r="Q7" s="6">
        <f>SUM(
IFERROR(VLOOKUP(E7,MATERIAUX!$A$1:$D$27,4,FALSE)*F7,0),
IFERROR(VLOOKUP(G7,MATERIAUX!$A$1:$D$27,4,FALSE)*H7,0),
IFERROR(VLOOKUP(I7,MATERIAUX!$A$1:$D$27,4,FALSE)*J7,0),
IFERROR(VLOOKUP(K7,MATERIAUX!$A$1:$D$27,4,FALSE)*L7,0),
IFERROR(VLOOKUP(M7,MATERIAUX!$A$1:$D$27,4,FALSE)*N7,0),
IFERROR(VLOOKUP(O7,MATERIAUX!$A$1:$D$27,4,FALSE)*P7,0)
)</f>
        <v>3.3333333333333335</v>
      </c>
      <c r="R7" s="3"/>
      <c r="S7" s="3"/>
    </row>
    <row r="8" spans="1:19" ht="18.75">
      <c r="A8" s="5" t="s">
        <v>35</v>
      </c>
      <c r="B8" s="6">
        <v>20</v>
      </c>
      <c r="C8" s="6">
        <f t="shared" si="0"/>
        <v>13.333333333333332</v>
      </c>
      <c r="D8" s="15">
        <f t="shared" si="1"/>
        <v>1.9999999999999998</v>
      </c>
      <c r="E8" s="5" t="s">
        <v>30</v>
      </c>
      <c r="F8" s="5">
        <v>2</v>
      </c>
      <c r="G8" s="5" t="s">
        <v>32</v>
      </c>
      <c r="H8" s="5">
        <v>2</v>
      </c>
      <c r="I8" s="5"/>
      <c r="J8" s="5"/>
      <c r="K8" s="5"/>
      <c r="L8" s="5"/>
      <c r="M8" s="5"/>
      <c r="N8" s="5"/>
      <c r="O8" s="5"/>
      <c r="P8" s="5"/>
      <c r="Q8" s="6">
        <f>SUM(
IFERROR(VLOOKUP(E8,MATERIAUX!$A$1:$D$27,4,FALSE)*F8,0),
IFERROR(VLOOKUP(G8,MATERIAUX!$A$1:$D$27,4,FALSE)*H8,0),
IFERROR(VLOOKUP(I8,MATERIAUX!$A$1:$D$27,4,FALSE)*J8,0),
IFERROR(VLOOKUP(K8,MATERIAUX!$A$1:$D$27,4,FALSE)*L8,0),
IFERROR(VLOOKUP(M8,MATERIAUX!$A$1:$D$27,4,FALSE)*N8,0),
IFERROR(VLOOKUP(O8,MATERIAUX!$A$1:$D$27,4,FALSE)*P8,0)
)</f>
        <v>6.666666666666667</v>
      </c>
      <c r="R8" s="3"/>
      <c r="S8" s="3"/>
    </row>
    <row r="9" spans="1:19" ht="18.75">
      <c r="A9" s="5" t="s">
        <v>36</v>
      </c>
      <c r="B9" s="6">
        <v>30</v>
      </c>
      <c r="C9" s="6">
        <f t="shared" si="0"/>
        <v>26.9</v>
      </c>
      <c r="D9" s="15">
        <f t="shared" si="1"/>
        <v>8.6774193548387082</v>
      </c>
      <c r="E9" s="5" t="s">
        <v>32</v>
      </c>
      <c r="F9" s="5">
        <v>1</v>
      </c>
      <c r="G9" s="5" t="s">
        <v>37</v>
      </c>
      <c r="H9" s="5">
        <v>1</v>
      </c>
      <c r="I9" s="5"/>
      <c r="J9" s="5"/>
      <c r="K9" s="5"/>
      <c r="L9" s="5"/>
      <c r="M9" s="5"/>
      <c r="N9" s="5"/>
      <c r="O9" s="5"/>
      <c r="P9" s="5"/>
      <c r="Q9" s="6">
        <f>SUM(
IFERROR(VLOOKUP(E9,MATERIAUX!$A$1:$D$27,4,FALSE)*F9,0),
IFERROR(VLOOKUP(G9,MATERIAUX!$A$1:$D$27,4,FALSE)*H9,0),
IFERROR(VLOOKUP(I9,MATERIAUX!$A$1:$D$27,4,FALSE)*J9,0),
IFERROR(VLOOKUP(K9,MATERIAUX!$A$1:$D$27,4,FALSE)*L9,0),
IFERROR(VLOOKUP(M9,MATERIAUX!$A$1:$D$27,4,FALSE)*N9,0),
IFERROR(VLOOKUP(O9,MATERIAUX!$A$1:$D$27,4,FALSE)*P9,0)
)</f>
        <v>3.1</v>
      </c>
      <c r="R9" s="3"/>
      <c r="S9" s="3"/>
    </row>
    <row r="10" spans="1:19" ht="18.75">
      <c r="A10" s="5" t="s">
        <v>38</v>
      </c>
      <c r="B10" s="6">
        <v>30</v>
      </c>
      <c r="C10" s="6">
        <f t="shared" si="0"/>
        <v>23.5</v>
      </c>
      <c r="D10" s="15">
        <f t="shared" si="1"/>
        <v>3.6153846153846154</v>
      </c>
      <c r="E10" s="5" t="s">
        <v>32</v>
      </c>
      <c r="F10" s="5">
        <v>2</v>
      </c>
      <c r="G10" s="5" t="s">
        <v>37</v>
      </c>
      <c r="H10" s="5">
        <v>5</v>
      </c>
      <c r="I10" s="5"/>
      <c r="J10" s="5"/>
      <c r="K10" s="5"/>
      <c r="L10" s="5"/>
      <c r="M10" s="5"/>
      <c r="N10" s="5"/>
      <c r="O10" s="5"/>
      <c r="P10" s="5"/>
      <c r="Q10" s="6">
        <f>SUM(
IFERROR(VLOOKUP(E10,MATERIAUX!$A$1:$D$27,4,FALSE)*F10,0),
IFERROR(VLOOKUP(G10,MATERIAUX!$A$1:$D$27,4,FALSE)*H10,0),
IFERROR(VLOOKUP(I10,MATERIAUX!$A$1:$D$27,4,FALSE)*J10,0),
IFERROR(VLOOKUP(K10,MATERIAUX!$A$1:$D$27,4,FALSE)*L10,0),
IFERROR(VLOOKUP(M10,MATERIAUX!$A$1:$D$27,4,FALSE)*N10,0),
IFERROR(VLOOKUP(O10,MATERIAUX!$A$1:$D$27,4,FALSE)*P10,0)
)</f>
        <v>6.5</v>
      </c>
      <c r="R10" s="3"/>
      <c r="S10" s="3"/>
    </row>
    <row r="11" spans="1:19" ht="18.75">
      <c r="A11" s="5" t="s">
        <v>39</v>
      </c>
      <c r="B11" s="6">
        <v>40</v>
      </c>
      <c r="C11" s="6">
        <f t="shared" si="0"/>
        <v>35.333333333333336</v>
      </c>
      <c r="D11" s="15">
        <f t="shared" si="1"/>
        <v>7.571428571428573</v>
      </c>
      <c r="E11" s="5" t="s">
        <v>32</v>
      </c>
      <c r="F11" s="5">
        <v>1</v>
      </c>
      <c r="G11" s="5" t="s">
        <v>30</v>
      </c>
      <c r="H11" s="5">
        <v>5</v>
      </c>
      <c r="I11" s="5"/>
      <c r="J11" s="5"/>
      <c r="K11" s="5"/>
      <c r="L11" s="5"/>
      <c r="M11" s="5"/>
      <c r="N11" s="5"/>
      <c r="O11" s="5"/>
      <c r="P11" s="5"/>
      <c r="Q11" s="6">
        <f>SUM(
IFERROR(VLOOKUP(E11,MATERIAUX!$A$1:$D$27,4,FALSE)*F11,0),
IFERROR(VLOOKUP(G11,MATERIAUX!$A$1:$D$27,4,FALSE)*H11,0),
IFERROR(VLOOKUP(I11,MATERIAUX!$A$1:$D$27,4,FALSE)*J11,0),
IFERROR(VLOOKUP(K11,MATERIAUX!$A$1:$D$27,4,FALSE)*L11,0),
IFERROR(VLOOKUP(M11,MATERIAUX!$A$1:$D$27,4,FALSE)*N11,0),
IFERROR(VLOOKUP(O11,MATERIAUX!$A$1:$D$27,4,FALSE)*P11,0)
)</f>
        <v>4.6666666666666661</v>
      </c>
      <c r="R11" s="3"/>
      <c r="S11" s="3"/>
    </row>
    <row r="12" spans="1:19" ht="18.75">
      <c r="A12" s="5" t="s">
        <v>40</v>
      </c>
      <c r="B12" s="6">
        <v>100</v>
      </c>
      <c r="C12" s="6">
        <f t="shared" si="0"/>
        <v>60.666666666666664</v>
      </c>
      <c r="D12" s="15">
        <f t="shared" si="1"/>
        <v>1.5423728813559321</v>
      </c>
      <c r="E12" s="5" t="s">
        <v>41</v>
      </c>
      <c r="F12" s="5">
        <v>2</v>
      </c>
      <c r="G12" s="5" t="s">
        <v>42</v>
      </c>
      <c r="H12" s="5">
        <v>2</v>
      </c>
      <c r="I12" s="5" t="s">
        <v>32</v>
      </c>
      <c r="J12" s="5">
        <v>2</v>
      </c>
      <c r="K12" s="5" t="s">
        <v>30</v>
      </c>
      <c r="L12" s="5">
        <v>16</v>
      </c>
      <c r="M12" s="5"/>
      <c r="N12" s="5"/>
      <c r="O12" s="5"/>
      <c r="P12" s="5"/>
      <c r="Q12" s="6">
        <f>SUM(
IFERROR(VLOOKUP(E12,MATERIAUX!$A$1:$D$27,4,FALSE)*F12,0),
IFERROR(VLOOKUP(G12,MATERIAUX!$A$1:$D$27,4,FALSE)*H12,0),
IFERROR(VLOOKUP(I12,MATERIAUX!$A$1:$D$27,4,FALSE)*J12,0),
IFERROR(VLOOKUP(K12,MATERIAUX!$A$1:$D$27,4,FALSE)*L12,0),
IFERROR(VLOOKUP(M12,MATERIAUX!$A$1:$D$27,4,FALSE)*N12,0),
IFERROR(VLOOKUP(O12,MATERIAUX!$A$1:$D$27,4,FALSE)*P12,0)
)</f>
        <v>39.333333333333336</v>
      </c>
      <c r="R12" s="3"/>
      <c r="S12" s="3"/>
    </row>
    <row r="13" spans="1:19" ht="18.75">
      <c r="A13" s="5" t="s">
        <v>43</v>
      </c>
      <c r="B13" s="6">
        <v>100</v>
      </c>
      <c r="C13" s="6">
        <f t="shared" si="0"/>
        <v>60.666666666666664</v>
      </c>
      <c r="D13" s="15">
        <f t="shared" si="1"/>
        <v>1.5423728813559321</v>
      </c>
      <c r="E13" s="5" t="s">
        <v>41</v>
      </c>
      <c r="F13" s="5">
        <v>2</v>
      </c>
      <c r="G13" s="5" t="s">
        <v>42</v>
      </c>
      <c r="H13" s="5">
        <v>2</v>
      </c>
      <c r="I13" s="5" t="s">
        <v>32</v>
      </c>
      <c r="J13" s="5">
        <v>2</v>
      </c>
      <c r="K13" s="5" t="s">
        <v>30</v>
      </c>
      <c r="L13" s="5">
        <v>16</v>
      </c>
      <c r="M13" s="5"/>
      <c r="N13" s="5"/>
      <c r="O13" s="5"/>
      <c r="P13" s="5"/>
      <c r="Q13" s="6">
        <f>SUM(
IFERROR(VLOOKUP(E13,MATERIAUX!$A$1:$D$27,4,FALSE)*F13,0),
IFERROR(VLOOKUP(G13,MATERIAUX!$A$1:$D$27,4,FALSE)*H13,0),
IFERROR(VLOOKUP(I13,MATERIAUX!$A$1:$D$27,4,FALSE)*J13,0),
IFERROR(VLOOKUP(K13,MATERIAUX!$A$1:$D$27,4,FALSE)*L13,0),
IFERROR(VLOOKUP(M13,MATERIAUX!$A$1:$D$27,4,FALSE)*N13,0),
IFERROR(VLOOKUP(O13,MATERIAUX!$A$1:$D$27,4,FALSE)*P13,0)
)</f>
        <v>39.333333333333336</v>
      </c>
      <c r="R13" s="3"/>
      <c r="S13" s="3"/>
    </row>
    <row r="14" spans="1:19" ht="18.75">
      <c r="A14" s="5" t="s">
        <v>44</v>
      </c>
      <c r="B14" s="6">
        <v>100</v>
      </c>
      <c r="C14" s="6">
        <f t="shared" si="0"/>
        <v>60.666666666666664</v>
      </c>
      <c r="D14" s="15">
        <f t="shared" si="1"/>
        <v>1.5423728813559321</v>
      </c>
      <c r="E14" s="5" t="s">
        <v>41</v>
      </c>
      <c r="F14" s="5">
        <v>2</v>
      </c>
      <c r="G14" s="5" t="s">
        <v>42</v>
      </c>
      <c r="H14" s="5">
        <v>2</v>
      </c>
      <c r="I14" s="5" t="s">
        <v>32</v>
      </c>
      <c r="J14" s="5">
        <v>2</v>
      </c>
      <c r="K14" s="5" t="s">
        <v>30</v>
      </c>
      <c r="L14" s="5">
        <v>16</v>
      </c>
      <c r="M14" s="5"/>
      <c r="N14" s="5"/>
      <c r="O14" s="5"/>
      <c r="P14" s="5"/>
      <c r="Q14" s="6">
        <f>SUM(
IFERROR(VLOOKUP(E14,MATERIAUX!$A$1:$D$27,4,FALSE)*F14,0),
IFERROR(VLOOKUP(G14,MATERIAUX!$A$1:$D$27,4,FALSE)*H14,0),
IFERROR(VLOOKUP(I14,MATERIAUX!$A$1:$D$27,4,FALSE)*J14,0),
IFERROR(VLOOKUP(K14,MATERIAUX!$A$1:$D$27,4,FALSE)*L14,0),
IFERROR(VLOOKUP(M14,MATERIAUX!$A$1:$D$27,4,FALSE)*N14,0),
IFERROR(VLOOKUP(O14,MATERIAUX!$A$1:$D$27,4,FALSE)*P14,0)
)</f>
        <v>39.333333333333336</v>
      </c>
      <c r="R14" s="3"/>
      <c r="S14" s="3"/>
    </row>
    <row r="15" spans="1:19" ht="18.75">
      <c r="A15" s="5" t="s">
        <v>45</v>
      </c>
      <c r="B15" s="6">
        <v>100</v>
      </c>
      <c r="C15" s="6">
        <f t="shared" si="0"/>
        <v>60.666666666666664</v>
      </c>
      <c r="D15" s="15">
        <f t="shared" si="1"/>
        <v>1.5423728813559321</v>
      </c>
      <c r="E15" s="5" t="s">
        <v>41</v>
      </c>
      <c r="F15" s="5">
        <v>2</v>
      </c>
      <c r="G15" s="5" t="s">
        <v>42</v>
      </c>
      <c r="H15" s="5">
        <v>2</v>
      </c>
      <c r="I15" s="5" t="s">
        <v>32</v>
      </c>
      <c r="J15" s="5">
        <v>2</v>
      </c>
      <c r="K15" s="5" t="s">
        <v>30</v>
      </c>
      <c r="L15" s="5">
        <v>16</v>
      </c>
      <c r="M15" s="5"/>
      <c r="N15" s="5"/>
      <c r="O15" s="5"/>
      <c r="P15" s="5"/>
      <c r="Q15" s="6">
        <f>SUM(
IFERROR(VLOOKUP(E15,MATERIAUX!$A$1:$D$27,4,FALSE)*F15,0),
IFERROR(VLOOKUP(G15,MATERIAUX!$A$1:$D$27,4,FALSE)*H15,0),
IFERROR(VLOOKUP(I15,MATERIAUX!$A$1:$D$27,4,FALSE)*J15,0),
IFERROR(VLOOKUP(K15,MATERIAUX!$A$1:$D$27,4,FALSE)*L15,0),
IFERROR(VLOOKUP(M15,MATERIAUX!$A$1:$D$27,4,FALSE)*N15,0),
IFERROR(VLOOKUP(O15,MATERIAUX!$A$1:$D$27,4,FALSE)*P15,0)
)</f>
        <v>39.333333333333336</v>
      </c>
      <c r="R15" s="3"/>
      <c r="S15" s="3"/>
    </row>
    <row r="16" spans="1:19" ht="18.75">
      <c r="A16" s="5" t="s">
        <v>46</v>
      </c>
      <c r="B16" s="6">
        <v>100</v>
      </c>
      <c r="C16" s="6">
        <f t="shared" si="0"/>
        <v>60.666666666666664</v>
      </c>
      <c r="D16" s="15">
        <f t="shared" si="1"/>
        <v>1.5423728813559321</v>
      </c>
      <c r="E16" s="5" t="s">
        <v>41</v>
      </c>
      <c r="F16" s="5">
        <v>2</v>
      </c>
      <c r="G16" s="5" t="s">
        <v>42</v>
      </c>
      <c r="H16" s="5">
        <v>2</v>
      </c>
      <c r="I16" s="5" t="s">
        <v>32</v>
      </c>
      <c r="J16" s="5">
        <v>2</v>
      </c>
      <c r="K16" s="5" t="s">
        <v>30</v>
      </c>
      <c r="L16" s="5">
        <v>16</v>
      </c>
      <c r="M16" s="5"/>
      <c r="N16" s="5"/>
      <c r="O16" s="5"/>
      <c r="P16" s="5"/>
      <c r="Q16" s="6">
        <f>SUM(
IFERROR(VLOOKUP(E16,MATERIAUX!$A$1:$D$27,4,FALSE)*F16,0),
IFERROR(VLOOKUP(G16,MATERIAUX!$A$1:$D$27,4,FALSE)*H16,0),
IFERROR(VLOOKUP(I16,MATERIAUX!$A$1:$D$27,4,FALSE)*J16,0),
IFERROR(VLOOKUP(K16,MATERIAUX!$A$1:$D$27,4,FALSE)*L16,0),
IFERROR(VLOOKUP(M16,MATERIAUX!$A$1:$D$27,4,FALSE)*N16,0),
IFERROR(VLOOKUP(O16,MATERIAUX!$A$1:$D$27,4,FALSE)*P16,0)
)</f>
        <v>39.333333333333336</v>
      </c>
      <c r="R16" s="3"/>
      <c r="S16" s="3"/>
    </row>
    <row r="17" spans="1:19" ht="18.75">
      <c r="A17" s="5" t="s">
        <v>47</v>
      </c>
      <c r="B17" s="6">
        <v>100</v>
      </c>
      <c r="C17" s="6">
        <f t="shared" si="0"/>
        <v>60.666666666666664</v>
      </c>
      <c r="D17" s="15">
        <f t="shared" si="1"/>
        <v>1.5423728813559321</v>
      </c>
      <c r="E17" s="5" t="s">
        <v>41</v>
      </c>
      <c r="F17" s="5">
        <v>2</v>
      </c>
      <c r="G17" s="5" t="s">
        <v>42</v>
      </c>
      <c r="H17" s="5">
        <v>2</v>
      </c>
      <c r="I17" s="5" t="s">
        <v>32</v>
      </c>
      <c r="J17" s="5">
        <v>2</v>
      </c>
      <c r="K17" s="5" t="s">
        <v>30</v>
      </c>
      <c r="L17" s="5">
        <v>16</v>
      </c>
      <c r="M17" s="5"/>
      <c r="N17" s="5"/>
      <c r="O17" s="5"/>
      <c r="P17" s="5"/>
      <c r="Q17" s="6">
        <f>SUM(
IFERROR(VLOOKUP(E17,MATERIAUX!$A$1:$D$27,4,FALSE)*F17,0),
IFERROR(VLOOKUP(G17,MATERIAUX!$A$1:$D$27,4,FALSE)*H17,0),
IFERROR(VLOOKUP(I17,MATERIAUX!$A$1:$D$27,4,FALSE)*J17,0),
IFERROR(VLOOKUP(K17,MATERIAUX!$A$1:$D$27,4,FALSE)*L17,0),
IFERROR(VLOOKUP(M17,MATERIAUX!$A$1:$D$27,4,FALSE)*N17,0),
IFERROR(VLOOKUP(O17,MATERIAUX!$A$1:$D$27,4,FALSE)*P17,0)
)</f>
        <v>39.333333333333336</v>
      </c>
      <c r="R17" s="3"/>
      <c r="S17" s="3"/>
    </row>
    <row r="18" spans="1:19" ht="18.75">
      <c r="A18" s="5" t="s">
        <v>48</v>
      </c>
      <c r="B18" s="6">
        <v>100</v>
      </c>
      <c r="C18" s="6">
        <f t="shared" si="0"/>
        <v>60.666666666666664</v>
      </c>
      <c r="D18" s="15">
        <f t="shared" si="1"/>
        <v>1.5423728813559321</v>
      </c>
      <c r="E18" s="5" t="s">
        <v>41</v>
      </c>
      <c r="F18" s="5">
        <v>2</v>
      </c>
      <c r="G18" s="5" t="s">
        <v>42</v>
      </c>
      <c r="H18" s="5">
        <v>2</v>
      </c>
      <c r="I18" s="5" t="s">
        <v>32</v>
      </c>
      <c r="J18" s="5">
        <v>2</v>
      </c>
      <c r="K18" s="5" t="s">
        <v>30</v>
      </c>
      <c r="L18" s="5">
        <v>16</v>
      </c>
      <c r="M18" s="5"/>
      <c r="N18" s="5"/>
      <c r="O18" s="5"/>
      <c r="P18" s="5"/>
      <c r="Q18" s="6">
        <f>SUM(
IFERROR(VLOOKUP(E18,MATERIAUX!$A$1:$D$27,4,FALSE)*F18,0),
IFERROR(VLOOKUP(G18,MATERIAUX!$A$1:$D$27,4,FALSE)*H18,0),
IFERROR(VLOOKUP(I18,MATERIAUX!$A$1:$D$27,4,FALSE)*J18,0),
IFERROR(VLOOKUP(K18,MATERIAUX!$A$1:$D$27,4,FALSE)*L18,0),
IFERROR(VLOOKUP(M18,MATERIAUX!$A$1:$D$27,4,FALSE)*N18,0),
IFERROR(VLOOKUP(O18,MATERIAUX!$A$1:$D$27,4,FALSE)*P18,0)
)</f>
        <v>39.333333333333336</v>
      </c>
      <c r="R18" s="3"/>
      <c r="S18" s="3"/>
    </row>
    <row r="19" spans="1:19" ht="18.75">
      <c r="A19" s="5" t="s">
        <v>49</v>
      </c>
      <c r="B19" s="6">
        <v>100</v>
      </c>
      <c r="C19" s="6">
        <f t="shared" si="0"/>
        <v>60.666666666666664</v>
      </c>
      <c r="D19" s="15">
        <f t="shared" si="1"/>
        <v>1.5423728813559321</v>
      </c>
      <c r="E19" s="5" t="s">
        <v>41</v>
      </c>
      <c r="F19" s="5">
        <v>2</v>
      </c>
      <c r="G19" s="5" t="s">
        <v>42</v>
      </c>
      <c r="H19" s="5">
        <v>2</v>
      </c>
      <c r="I19" s="5" t="s">
        <v>32</v>
      </c>
      <c r="J19" s="5">
        <v>2</v>
      </c>
      <c r="K19" s="5" t="s">
        <v>30</v>
      </c>
      <c r="L19" s="5">
        <v>16</v>
      </c>
      <c r="M19" s="5"/>
      <c r="N19" s="5"/>
      <c r="O19" s="5"/>
      <c r="P19" s="5"/>
      <c r="Q19" s="6">
        <f>SUM(
IFERROR(VLOOKUP(E19,MATERIAUX!$A$1:$D$27,4,FALSE)*F19,0),
IFERROR(VLOOKUP(G19,MATERIAUX!$A$1:$D$27,4,FALSE)*H19,0),
IFERROR(VLOOKUP(I19,MATERIAUX!$A$1:$D$27,4,FALSE)*J19,0),
IFERROR(VLOOKUP(K19,MATERIAUX!$A$1:$D$27,4,FALSE)*L19,0),
IFERROR(VLOOKUP(M19,MATERIAUX!$A$1:$D$27,4,FALSE)*N19,0),
IFERROR(VLOOKUP(O19,MATERIAUX!$A$1:$D$27,4,FALSE)*P19,0)
)</f>
        <v>39.333333333333336</v>
      </c>
      <c r="R19" s="3"/>
      <c r="S19" s="3"/>
    </row>
    <row r="20" spans="1:19" ht="18.75">
      <c r="A20" s="5" t="s">
        <v>50</v>
      </c>
      <c r="B20" s="6">
        <v>100</v>
      </c>
      <c r="C20" s="6">
        <f t="shared" si="0"/>
        <v>60.666666666666664</v>
      </c>
      <c r="D20" s="15">
        <f t="shared" si="1"/>
        <v>1.5423728813559321</v>
      </c>
      <c r="E20" s="5" t="s">
        <v>41</v>
      </c>
      <c r="F20" s="5">
        <v>2</v>
      </c>
      <c r="G20" s="5" t="s">
        <v>42</v>
      </c>
      <c r="H20" s="5">
        <v>2</v>
      </c>
      <c r="I20" s="5" t="s">
        <v>32</v>
      </c>
      <c r="J20" s="5">
        <v>2</v>
      </c>
      <c r="K20" s="5" t="s">
        <v>30</v>
      </c>
      <c r="L20" s="5">
        <v>16</v>
      </c>
      <c r="M20" s="5"/>
      <c r="N20" s="5"/>
      <c r="O20" s="5"/>
      <c r="P20" s="5"/>
      <c r="Q20" s="6">
        <f>SUM(
IFERROR(VLOOKUP(E20,MATERIAUX!$A$1:$D$27,4,FALSE)*F20,0),
IFERROR(VLOOKUP(G20,MATERIAUX!$A$1:$D$27,4,FALSE)*H20,0),
IFERROR(VLOOKUP(I20,MATERIAUX!$A$1:$D$27,4,FALSE)*J20,0),
IFERROR(VLOOKUP(K20,MATERIAUX!$A$1:$D$27,4,FALSE)*L20,0),
IFERROR(VLOOKUP(M20,MATERIAUX!$A$1:$D$27,4,FALSE)*N20,0),
IFERROR(VLOOKUP(O20,MATERIAUX!$A$1:$D$27,4,FALSE)*P20,0)
)</f>
        <v>39.333333333333336</v>
      </c>
      <c r="R20" s="3"/>
      <c r="S20" s="3"/>
    </row>
    <row r="21" spans="1:19" ht="18.75">
      <c r="A21" s="5" t="s">
        <v>51</v>
      </c>
      <c r="B21" s="6">
        <v>100</v>
      </c>
      <c r="C21" s="6">
        <f t="shared" si="0"/>
        <v>60.666666666666664</v>
      </c>
      <c r="D21" s="15">
        <f t="shared" si="1"/>
        <v>1.5423728813559321</v>
      </c>
      <c r="E21" s="5" t="s">
        <v>41</v>
      </c>
      <c r="F21" s="5">
        <v>2</v>
      </c>
      <c r="G21" s="5" t="s">
        <v>42</v>
      </c>
      <c r="H21" s="5">
        <v>2</v>
      </c>
      <c r="I21" s="5" t="s">
        <v>32</v>
      </c>
      <c r="J21" s="5">
        <v>2</v>
      </c>
      <c r="K21" s="5" t="s">
        <v>30</v>
      </c>
      <c r="L21" s="5">
        <v>16</v>
      </c>
      <c r="M21" s="5"/>
      <c r="N21" s="5"/>
      <c r="O21" s="5"/>
      <c r="P21" s="5"/>
      <c r="Q21" s="6">
        <f>SUM(
IFERROR(VLOOKUP(E21,MATERIAUX!$A$1:$D$27,4,FALSE)*F21,0),
IFERROR(VLOOKUP(G21,MATERIAUX!$A$1:$D$27,4,FALSE)*H21,0),
IFERROR(VLOOKUP(I21,MATERIAUX!$A$1:$D$27,4,FALSE)*J21,0),
IFERROR(VLOOKUP(K21,MATERIAUX!$A$1:$D$27,4,FALSE)*L21,0),
IFERROR(VLOOKUP(M21,MATERIAUX!$A$1:$D$27,4,FALSE)*N21,0),
IFERROR(VLOOKUP(O21,MATERIAUX!$A$1:$D$27,4,FALSE)*P21,0)
)</f>
        <v>39.333333333333336</v>
      </c>
      <c r="R21" s="3"/>
      <c r="S21" s="3"/>
    </row>
    <row r="22" spans="1:19" ht="18.75">
      <c r="A22" s="5" t="s">
        <v>52</v>
      </c>
      <c r="B22" s="6">
        <v>100</v>
      </c>
      <c r="C22" s="6">
        <f t="shared" si="0"/>
        <v>60.666666666666664</v>
      </c>
      <c r="D22" s="15">
        <f t="shared" si="1"/>
        <v>1.5423728813559321</v>
      </c>
      <c r="E22" s="5" t="s">
        <v>41</v>
      </c>
      <c r="F22" s="5">
        <v>2</v>
      </c>
      <c r="G22" s="5" t="s">
        <v>42</v>
      </c>
      <c r="H22" s="5">
        <v>2</v>
      </c>
      <c r="I22" s="5" t="s">
        <v>32</v>
      </c>
      <c r="J22" s="5">
        <v>2</v>
      </c>
      <c r="K22" s="5" t="s">
        <v>30</v>
      </c>
      <c r="L22" s="5">
        <v>16</v>
      </c>
      <c r="M22" s="5"/>
      <c r="N22" s="5"/>
      <c r="O22" s="5"/>
      <c r="P22" s="5"/>
      <c r="Q22" s="6">
        <f>SUM(
IFERROR(VLOOKUP(E22,MATERIAUX!$A$1:$D$27,4,FALSE)*F22,0),
IFERROR(VLOOKUP(G22,MATERIAUX!$A$1:$D$27,4,FALSE)*H22,0),
IFERROR(VLOOKUP(I22,MATERIAUX!$A$1:$D$27,4,FALSE)*J22,0),
IFERROR(VLOOKUP(K22,MATERIAUX!$A$1:$D$27,4,FALSE)*L22,0),
IFERROR(VLOOKUP(M22,MATERIAUX!$A$1:$D$27,4,FALSE)*N22,0),
IFERROR(VLOOKUP(O22,MATERIAUX!$A$1:$D$27,4,FALSE)*P22,0)
)</f>
        <v>39.333333333333336</v>
      </c>
      <c r="R22" s="3"/>
      <c r="S22" s="3"/>
    </row>
    <row r="23" spans="1:19" ht="18.75">
      <c r="A23" s="5" t="s">
        <v>53</v>
      </c>
      <c r="B23" s="6">
        <v>100</v>
      </c>
      <c r="C23" s="6">
        <f t="shared" si="0"/>
        <v>60.666666666666664</v>
      </c>
      <c r="D23" s="15">
        <f t="shared" si="1"/>
        <v>1.5423728813559321</v>
      </c>
      <c r="E23" s="5" t="s">
        <v>41</v>
      </c>
      <c r="F23" s="5">
        <v>2</v>
      </c>
      <c r="G23" s="5" t="s">
        <v>42</v>
      </c>
      <c r="H23" s="5">
        <v>2</v>
      </c>
      <c r="I23" s="5" t="s">
        <v>32</v>
      </c>
      <c r="J23" s="5">
        <v>2</v>
      </c>
      <c r="K23" s="5" t="s">
        <v>30</v>
      </c>
      <c r="L23" s="5">
        <v>16</v>
      </c>
      <c r="M23" s="5"/>
      <c r="N23" s="5"/>
      <c r="O23" s="5"/>
      <c r="P23" s="5"/>
      <c r="Q23" s="6">
        <f>SUM(
IFERROR(VLOOKUP(E23,MATERIAUX!$A$1:$D$27,4,FALSE)*F23,0),
IFERROR(VLOOKUP(G23,MATERIAUX!$A$1:$D$27,4,FALSE)*H23,0),
IFERROR(VLOOKUP(I23,MATERIAUX!$A$1:$D$27,4,FALSE)*J23,0),
IFERROR(VLOOKUP(K23,MATERIAUX!$A$1:$D$27,4,FALSE)*L23,0),
IFERROR(VLOOKUP(M23,MATERIAUX!$A$1:$D$27,4,FALSE)*N23,0),
IFERROR(VLOOKUP(O23,MATERIAUX!$A$1:$D$27,4,FALSE)*P23,0)
)</f>
        <v>39.333333333333336</v>
      </c>
      <c r="R23" s="3"/>
      <c r="S23" s="3"/>
    </row>
    <row r="24" spans="1:19" ht="18.75">
      <c r="A24" s="5" t="s">
        <v>54</v>
      </c>
      <c r="B24" s="6">
        <v>100</v>
      </c>
      <c r="C24" s="6">
        <f t="shared" si="0"/>
        <v>60.666666666666664</v>
      </c>
      <c r="D24" s="15">
        <f t="shared" si="1"/>
        <v>1.5423728813559321</v>
      </c>
      <c r="E24" s="5" t="s">
        <v>41</v>
      </c>
      <c r="F24" s="5">
        <v>2</v>
      </c>
      <c r="G24" s="5" t="s">
        <v>42</v>
      </c>
      <c r="H24" s="5">
        <v>2</v>
      </c>
      <c r="I24" s="5" t="s">
        <v>32</v>
      </c>
      <c r="J24" s="5">
        <v>2</v>
      </c>
      <c r="K24" s="5" t="s">
        <v>30</v>
      </c>
      <c r="L24" s="5">
        <v>16</v>
      </c>
      <c r="M24" s="5"/>
      <c r="N24" s="5"/>
      <c r="O24" s="5"/>
      <c r="P24" s="5"/>
      <c r="Q24" s="6">
        <f>SUM(
IFERROR(VLOOKUP(E24,MATERIAUX!$A$1:$D$27,4,FALSE)*F24,0),
IFERROR(VLOOKUP(G24,MATERIAUX!$A$1:$D$27,4,FALSE)*H24,0),
IFERROR(VLOOKUP(I24,MATERIAUX!$A$1:$D$27,4,FALSE)*J24,0),
IFERROR(VLOOKUP(K24,MATERIAUX!$A$1:$D$27,4,FALSE)*L24,0),
IFERROR(VLOOKUP(M24,MATERIAUX!$A$1:$D$27,4,FALSE)*N24,0),
IFERROR(VLOOKUP(O24,MATERIAUX!$A$1:$D$27,4,FALSE)*P24,0)
)</f>
        <v>39.333333333333336</v>
      </c>
      <c r="R24" s="3"/>
      <c r="S24" s="3"/>
    </row>
    <row r="25" spans="1:19" ht="18.75">
      <c r="A25" s="5" t="s">
        <v>55</v>
      </c>
      <c r="B25" s="6">
        <v>100</v>
      </c>
      <c r="C25" s="6">
        <f t="shared" si="0"/>
        <v>60.666666666666664</v>
      </c>
      <c r="D25" s="15">
        <f t="shared" si="1"/>
        <v>1.5423728813559321</v>
      </c>
      <c r="E25" s="5" t="s">
        <v>41</v>
      </c>
      <c r="F25" s="5">
        <v>2</v>
      </c>
      <c r="G25" s="5" t="s">
        <v>42</v>
      </c>
      <c r="H25" s="5">
        <v>2</v>
      </c>
      <c r="I25" s="5" t="s">
        <v>32</v>
      </c>
      <c r="J25" s="5">
        <v>2</v>
      </c>
      <c r="K25" s="5" t="s">
        <v>30</v>
      </c>
      <c r="L25" s="5">
        <v>16</v>
      </c>
      <c r="M25" s="5"/>
      <c r="N25" s="5"/>
      <c r="O25" s="5"/>
      <c r="P25" s="5"/>
      <c r="Q25" s="6">
        <f>SUM(
IFERROR(VLOOKUP(E25,MATERIAUX!$A$1:$D$27,4,FALSE)*F25,0),
IFERROR(VLOOKUP(G25,MATERIAUX!$A$1:$D$27,4,FALSE)*H25,0),
IFERROR(VLOOKUP(I25,MATERIAUX!$A$1:$D$27,4,FALSE)*J25,0),
IFERROR(VLOOKUP(K25,MATERIAUX!$A$1:$D$27,4,FALSE)*L25,0),
IFERROR(VLOOKUP(M25,MATERIAUX!$A$1:$D$27,4,FALSE)*N25,0),
IFERROR(VLOOKUP(O25,MATERIAUX!$A$1:$D$27,4,FALSE)*P25,0)
)</f>
        <v>39.333333333333336</v>
      </c>
      <c r="R25" s="3"/>
      <c r="S25" s="3"/>
    </row>
    <row r="26" spans="1:19" ht="18.75">
      <c r="A26" s="5" t="s">
        <v>56</v>
      </c>
      <c r="B26" s="6">
        <v>100</v>
      </c>
      <c r="C26" s="6">
        <f t="shared" si="0"/>
        <v>60.666666666666664</v>
      </c>
      <c r="D26" s="15">
        <f t="shared" si="1"/>
        <v>1.5423728813559321</v>
      </c>
      <c r="E26" s="5" t="s">
        <v>41</v>
      </c>
      <c r="F26" s="5">
        <v>2</v>
      </c>
      <c r="G26" s="5" t="s">
        <v>42</v>
      </c>
      <c r="H26" s="5">
        <v>2</v>
      </c>
      <c r="I26" s="5" t="s">
        <v>32</v>
      </c>
      <c r="J26" s="5">
        <v>2</v>
      </c>
      <c r="K26" s="5" t="s">
        <v>30</v>
      </c>
      <c r="L26" s="5">
        <v>16</v>
      </c>
      <c r="M26" s="5"/>
      <c r="N26" s="5"/>
      <c r="O26" s="5"/>
      <c r="P26" s="5"/>
      <c r="Q26" s="6">
        <f>SUM(
IFERROR(VLOOKUP(E26,MATERIAUX!$A$1:$D$27,4,FALSE)*F26,0),
IFERROR(VLOOKUP(G26,MATERIAUX!$A$1:$D$27,4,FALSE)*H26,0),
IFERROR(VLOOKUP(I26,MATERIAUX!$A$1:$D$27,4,FALSE)*J26,0),
IFERROR(VLOOKUP(K26,MATERIAUX!$A$1:$D$27,4,FALSE)*L26,0),
IFERROR(VLOOKUP(M26,MATERIAUX!$A$1:$D$27,4,FALSE)*N26,0),
IFERROR(VLOOKUP(O26,MATERIAUX!$A$1:$D$27,4,FALSE)*P26,0)
)</f>
        <v>39.333333333333336</v>
      </c>
      <c r="R26" s="3"/>
      <c r="S26" s="3"/>
    </row>
    <row r="27" spans="1:19" ht="18.75">
      <c r="A27" s="5" t="s">
        <v>57</v>
      </c>
      <c r="B27" s="6">
        <v>100</v>
      </c>
      <c r="C27" s="6">
        <f t="shared" si="0"/>
        <v>60.666666666666664</v>
      </c>
      <c r="D27" s="15">
        <f t="shared" si="1"/>
        <v>1.5423728813559321</v>
      </c>
      <c r="E27" s="5" t="s">
        <v>41</v>
      </c>
      <c r="F27" s="5">
        <v>2</v>
      </c>
      <c r="G27" s="5" t="s">
        <v>42</v>
      </c>
      <c r="H27" s="5">
        <v>2</v>
      </c>
      <c r="I27" s="5" t="s">
        <v>32</v>
      </c>
      <c r="J27" s="5">
        <v>2</v>
      </c>
      <c r="K27" s="5" t="s">
        <v>30</v>
      </c>
      <c r="L27" s="5">
        <v>16</v>
      </c>
      <c r="M27" s="5"/>
      <c r="N27" s="5"/>
      <c r="O27" s="5"/>
      <c r="P27" s="5"/>
      <c r="Q27" s="6">
        <f>SUM(
IFERROR(VLOOKUP(E27,MATERIAUX!$A$1:$D$27,4,FALSE)*F27,0),
IFERROR(VLOOKUP(G27,MATERIAUX!$A$1:$D$27,4,FALSE)*H27,0),
IFERROR(VLOOKUP(I27,MATERIAUX!$A$1:$D$27,4,FALSE)*J27,0),
IFERROR(VLOOKUP(K27,MATERIAUX!$A$1:$D$27,4,FALSE)*L27,0),
IFERROR(VLOOKUP(M27,MATERIAUX!$A$1:$D$27,4,FALSE)*N27,0),
IFERROR(VLOOKUP(O27,MATERIAUX!$A$1:$D$27,4,FALSE)*P27,0)
)</f>
        <v>39.333333333333336</v>
      </c>
      <c r="R27" s="3"/>
      <c r="S27" s="3"/>
    </row>
    <row r="28" spans="1:19" ht="18.75">
      <c r="A28" s="5" t="s">
        <v>58</v>
      </c>
      <c r="B28" s="6">
        <v>100</v>
      </c>
      <c r="C28" s="6">
        <f t="shared" si="0"/>
        <v>60.666666666666664</v>
      </c>
      <c r="D28" s="15">
        <f t="shared" si="1"/>
        <v>1.5423728813559321</v>
      </c>
      <c r="E28" s="5" t="s">
        <v>41</v>
      </c>
      <c r="F28" s="5">
        <v>2</v>
      </c>
      <c r="G28" s="5" t="s">
        <v>42</v>
      </c>
      <c r="H28" s="5">
        <v>2</v>
      </c>
      <c r="I28" s="5" t="s">
        <v>32</v>
      </c>
      <c r="J28" s="5">
        <v>2</v>
      </c>
      <c r="K28" s="5" t="s">
        <v>30</v>
      </c>
      <c r="L28" s="5">
        <v>16</v>
      </c>
      <c r="M28" s="5"/>
      <c r="N28" s="5"/>
      <c r="O28" s="5"/>
      <c r="P28" s="5"/>
      <c r="Q28" s="6">
        <f>SUM(
IFERROR(VLOOKUP(E28,MATERIAUX!$A$1:$D$27,4,FALSE)*F28,0),
IFERROR(VLOOKUP(G28,MATERIAUX!$A$1:$D$27,4,FALSE)*H28,0),
IFERROR(VLOOKUP(I28,MATERIAUX!$A$1:$D$27,4,FALSE)*J28,0),
IFERROR(VLOOKUP(K28,MATERIAUX!$A$1:$D$27,4,FALSE)*L28,0),
IFERROR(VLOOKUP(M28,MATERIAUX!$A$1:$D$27,4,FALSE)*N28,0),
IFERROR(VLOOKUP(O28,MATERIAUX!$A$1:$D$27,4,FALSE)*P28,0)
)</f>
        <v>39.333333333333336</v>
      </c>
      <c r="R28" s="3"/>
      <c r="S28" s="3"/>
    </row>
    <row r="29" spans="1:19" ht="18.75">
      <c r="A29" s="5" t="s">
        <v>59</v>
      </c>
      <c r="B29" s="6">
        <v>100</v>
      </c>
      <c r="C29" s="6">
        <f t="shared" si="0"/>
        <v>60.666666666666664</v>
      </c>
      <c r="D29" s="15">
        <f t="shared" si="1"/>
        <v>1.5423728813559321</v>
      </c>
      <c r="E29" s="5" t="s">
        <v>41</v>
      </c>
      <c r="F29" s="5">
        <v>2</v>
      </c>
      <c r="G29" s="5" t="s">
        <v>42</v>
      </c>
      <c r="H29" s="5">
        <v>2</v>
      </c>
      <c r="I29" s="5" t="s">
        <v>32</v>
      </c>
      <c r="J29" s="5">
        <v>2</v>
      </c>
      <c r="K29" s="5" t="s">
        <v>30</v>
      </c>
      <c r="L29" s="5">
        <v>16</v>
      </c>
      <c r="M29" s="5"/>
      <c r="N29" s="5"/>
      <c r="O29" s="5"/>
      <c r="P29" s="5"/>
      <c r="Q29" s="6">
        <f>SUM(
IFERROR(VLOOKUP(E29,MATERIAUX!$A$1:$D$27,4,FALSE)*F29,0),
IFERROR(VLOOKUP(G29,MATERIAUX!$A$1:$D$27,4,FALSE)*H29,0),
IFERROR(VLOOKUP(I29,MATERIAUX!$A$1:$D$27,4,FALSE)*J29,0),
IFERROR(VLOOKUP(K29,MATERIAUX!$A$1:$D$27,4,FALSE)*L29,0),
IFERROR(VLOOKUP(M29,MATERIAUX!$A$1:$D$27,4,FALSE)*N29,0),
IFERROR(VLOOKUP(O29,MATERIAUX!$A$1:$D$27,4,FALSE)*P29,0)
)</f>
        <v>39.333333333333336</v>
      </c>
      <c r="R29" s="3"/>
      <c r="S29" s="3"/>
    </row>
    <row r="30" spans="1:19" ht="18.75">
      <c r="A30" s="5" t="s">
        <v>60</v>
      </c>
      <c r="B30" s="6">
        <v>100</v>
      </c>
      <c r="C30" s="6">
        <f t="shared" si="0"/>
        <v>60.666666666666664</v>
      </c>
      <c r="D30" s="15">
        <f t="shared" si="1"/>
        <v>1.5423728813559321</v>
      </c>
      <c r="E30" s="5" t="s">
        <v>41</v>
      </c>
      <c r="F30" s="5">
        <v>2</v>
      </c>
      <c r="G30" s="5" t="s">
        <v>42</v>
      </c>
      <c r="H30" s="5">
        <v>2</v>
      </c>
      <c r="I30" s="5" t="s">
        <v>32</v>
      </c>
      <c r="J30" s="5">
        <v>2</v>
      </c>
      <c r="K30" s="5" t="s">
        <v>30</v>
      </c>
      <c r="L30" s="5">
        <v>16</v>
      </c>
      <c r="M30" s="5"/>
      <c r="N30" s="5"/>
      <c r="O30" s="5"/>
      <c r="P30" s="5"/>
      <c r="Q30" s="6">
        <f>SUM(
IFERROR(VLOOKUP(E30,MATERIAUX!$A$1:$D$27,4,FALSE)*F30,0),
IFERROR(VLOOKUP(G30,MATERIAUX!$A$1:$D$27,4,FALSE)*H30,0),
IFERROR(VLOOKUP(I30,MATERIAUX!$A$1:$D$27,4,FALSE)*J30,0),
IFERROR(VLOOKUP(K30,MATERIAUX!$A$1:$D$27,4,FALSE)*L30,0),
IFERROR(VLOOKUP(M30,MATERIAUX!$A$1:$D$27,4,FALSE)*N30,0),
IFERROR(VLOOKUP(O30,MATERIAUX!$A$1:$D$27,4,FALSE)*P30,0)
)</f>
        <v>39.333333333333336</v>
      </c>
      <c r="R30" s="3"/>
      <c r="S30" s="3"/>
    </row>
    <row r="31" spans="1:19" ht="18.75">
      <c r="A31" s="5" t="s">
        <v>61</v>
      </c>
      <c r="B31" s="6">
        <v>20</v>
      </c>
      <c r="C31" s="6">
        <f t="shared" si="0"/>
        <v>18.666666666666668</v>
      </c>
      <c r="D31" s="15">
        <f t="shared" si="1"/>
        <v>14.000000000000002</v>
      </c>
      <c r="E31" s="5" t="s">
        <v>30</v>
      </c>
      <c r="F31" s="5">
        <v>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6">
        <f>SUM(
IFERROR(VLOOKUP(E31,MATERIAUX!$A$1:$D$27,4,FALSE)*F31,0),
IFERROR(VLOOKUP(G31,MATERIAUX!$A$1:$D$27,4,FALSE)*H31,0),
IFERROR(VLOOKUP(I31,MATERIAUX!$A$1:$D$27,4,FALSE)*J31,0),
IFERROR(VLOOKUP(K31,MATERIAUX!$A$1:$D$27,4,FALSE)*L31,0),
IFERROR(VLOOKUP(M31,MATERIAUX!$A$1:$D$27,4,FALSE)*N31,0),
IFERROR(VLOOKUP(O31,MATERIAUX!$A$1:$D$27,4,FALSE)*P31,0)
)</f>
        <v>1.3333333333333333</v>
      </c>
      <c r="R31" s="3"/>
      <c r="S31" s="3"/>
    </row>
    <row r="32" spans="1:19" ht="18.75">
      <c r="A32" s="5" t="s">
        <v>62</v>
      </c>
      <c r="B32" s="6">
        <v>40</v>
      </c>
      <c r="C32" s="6">
        <f t="shared" si="0"/>
        <v>32.799999999999997</v>
      </c>
      <c r="D32" s="15">
        <f t="shared" si="1"/>
        <v>4.5555555555555554</v>
      </c>
      <c r="E32" s="5" t="s">
        <v>32</v>
      </c>
      <c r="F32" s="5">
        <v>2</v>
      </c>
      <c r="G32" s="5" t="s">
        <v>37</v>
      </c>
      <c r="H32" s="5">
        <v>12</v>
      </c>
      <c r="I32" s="5"/>
      <c r="J32" s="5"/>
      <c r="K32" s="5"/>
      <c r="L32" s="5"/>
      <c r="M32" s="5"/>
      <c r="N32" s="5"/>
      <c r="O32" s="5"/>
      <c r="P32" s="5"/>
      <c r="Q32" s="6">
        <f>SUM(
IFERROR(VLOOKUP(E32,MATERIAUX!$A$1:$D$27,4,FALSE)*F32,0),
IFERROR(VLOOKUP(G32,MATERIAUX!$A$1:$D$27,4,FALSE)*H32,0),
IFERROR(VLOOKUP(I32,MATERIAUX!$A$1:$D$27,4,FALSE)*J32,0),
IFERROR(VLOOKUP(K32,MATERIAUX!$A$1:$D$27,4,FALSE)*L32,0),
IFERROR(VLOOKUP(M32,MATERIAUX!$A$1:$D$27,4,FALSE)*N32,0),
IFERROR(VLOOKUP(O32,MATERIAUX!$A$1:$D$27,4,FALSE)*P32,0)
)</f>
        <v>7.2</v>
      </c>
      <c r="R32" s="3"/>
      <c r="S32" s="3"/>
    </row>
    <row r="33" spans="1:19" ht="18.75">
      <c r="A33" s="5" t="s">
        <v>63</v>
      </c>
      <c r="B33" s="6">
        <v>20</v>
      </c>
      <c r="C33" s="6">
        <f t="shared" si="0"/>
        <v>18.666666666666668</v>
      </c>
      <c r="D33" s="15">
        <f t="shared" si="1"/>
        <v>14.000000000000002</v>
      </c>
      <c r="E33" s="5" t="s">
        <v>30</v>
      </c>
      <c r="F33" s="5">
        <v>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6">
        <f>SUM(
IFERROR(VLOOKUP(E33,MATERIAUX!$A$1:$D$27,4,FALSE)*F33,0),
IFERROR(VLOOKUP(G33,MATERIAUX!$A$1:$D$27,4,FALSE)*H33,0),
IFERROR(VLOOKUP(I33,MATERIAUX!$A$1:$D$27,4,FALSE)*J33,0),
IFERROR(VLOOKUP(K33,MATERIAUX!$A$1:$D$27,4,FALSE)*L33,0),
IFERROR(VLOOKUP(M33,MATERIAUX!$A$1:$D$27,4,FALSE)*N33,0),
IFERROR(VLOOKUP(O33,MATERIAUX!$A$1:$D$27,4,FALSE)*P33,0)
)</f>
        <v>1.3333333333333333</v>
      </c>
      <c r="R33" s="3"/>
      <c r="S33" s="3"/>
    </row>
    <row r="34" spans="1:19" ht="18.75">
      <c r="A34" s="5" t="s">
        <v>64</v>
      </c>
      <c r="B34" s="6">
        <v>20</v>
      </c>
      <c r="C34" s="6">
        <f t="shared" si="0"/>
        <v>18.666666666666668</v>
      </c>
      <c r="D34" s="15">
        <f t="shared" si="1"/>
        <v>14.000000000000002</v>
      </c>
      <c r="E34" s="5" t="s">
        <v>30</v>
      </c>
      <c r="F34" s="5">
        <v>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6">
        <f>SUM(
IFERROR(VLOOKUP(E34,MATERIAUX!$A$1:$D$27,4,FALSE)*F34,0),
IFERROR(VLOOKUP(G34,MATERIAUX!$A$1:$D$27,4,FALSE)*H34,0),
IFERROR(VLOOKUP(I34,MATERIAUX!$A$1:$D$27,4,FALSE)*J34,0),
IFERROR(VLOOKUP(K34,MATERIAUX!$A$1:$D$27,4,FALSE)*L34,0),
IFERROR(VLOOKUP(M34,MATERIAUX!$A$1:$D$27,4,FALSE)*N34,0),
IFERROR(VLOOKUP(O34,MATERIAUX!$A$1:$D$27,4,FALSE)*P34,0)
)</f>
        <v>1.3333333333333333</v>
      </c>
      <c r="R34" s="3"/>
      <c r="S34" s="3"/>
    </row>
    <row r="35" spans="1:19" ht="18.75">
      <c r="A35" s="5" t="s">
        <v>65</v>
      </c>
      <c r="B35" s="6">
        <v>20</v>
      </c>
      <c r="C35" s="6">
        <f t="shared" si="0"/>
        <v>18.666666666666668</v>
      </c>
      <c r="D35" s="15">
        <f t="shared" si="1"/>
        <v>14.000000000000002</v>
      </c>
      <c r="E35" s="5" t="s">
        <v>30</v>
      </c>
      <c r="F35" s="5">
        <v>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6">
        <f>SUM(
IFERROR(VLOOKUP(E35,MATERIAUX!$A$1:$D$27,4,FALSE)*F35,0),
IFERROR(VLOOKUP(G35,MATERIAUX!$A$1:$D$27,4,FALSE)*H35,0),
IFERROR(VLOOKUP(I35,MATERIAUX!$A$1:$D$27,4,FALSE)*J35,0),
IFERROR(VLOOKUP(K35,MATERIAUX!$A$1:$D$27,4,FALSE)*L35,0),
IFERROR(VLOOKUP(M35,MATERIAUX!$A$1:$D$27,4,FALSE)*N35,0),
IFERROR(VLOOKUP(O35,MATERIAUX!$A$1:$D$27,4,FALSE)*P35,0)
)</f>
        <v>1.3333333333333333</v>
      </c>
      <c r="R35" s="3"/>
      <c r="S35" s="3"/>
    </row>
    <row r="36" spans="1:19" ht="18.75">
      <c r="A36" s="5" t="s">
        <v>66</v>
      </c>
      <c r="B36" s="6">
        <v>20</v>
      </c>
      <c r="C36" s="6">
        <f t="shared" si="0"/>
        <v>18.666666666666668</v>
      </c>
      <c r="D36" s="15">
        <f t="shared" si="1"/>
        <v>14.000000000000002</v>
      </c>
      <c r="E36" s="5" t="s">
        <v>30</v>
      </c>
      <c r="F36" s="5">
        <v>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6">
        <f>SUM(
IFERROR(VLOOKUP(E36,MATERIAUX!$A$1:$D$27,4,FALSE)*F36,0),
IFERROR(VLOOKUP(G36,MATERIAUX!$A$1:$D$27,4,FALSE)*H36,0),
IFERROR(VLOOKUP(I36,MATERIAUX!$A$1:$D$27,4,FALSE)*J36,0),
IFERROR(VLOOKUP(K36,MATERIAUX!$A$1:$D$27,4,FALSE)*L36,0),
IFERROR(VLOOKUP(M36,MATERIAUX!$A$1:$D$27,4,FALSE)*N36,0),
IFERROR(VLOOKUP(O36,MATERIAUX!$A$1:$D$27,4,FALSE)*P36,0)
)</f>
        <v>1.3333333333333333</v>
      </c>
      <c r="R36" s="3"/>
      <c r="S36" s="3"/>
    </row>
    <row r="37" spans="1:19" ht="18.75">
      <c r="A37" s="5" t="s">
        <v>67</v>
      </c>
      <c r="B37" s="6">
        <v>10</v>
      </c>
      <c r="C37" s="6">
        <f t="shared" si="0"/>
        <v>9.6666666666666661</v>
      </c>
      <c r="D37" s="15">
        <f t="shared" si="1"/>
        <v>29</v>
      </c>
      <c r="E37" s="5" t="s">
        <v>30</v>
      </c>
      <c r="F37" s="5">
        <v>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6">
        <f>SUM(
IFERROR(VLOOKUP(E37,MATERIAUX!$A$1:$D$27,4,FALSE)*F37,0),
IFERROR(VLOOKUP(G37,MATERIAUX!$A$1:$D$27,4,FALSE)*H37,0),
IFERROR(VLOOKUP(I37,MATERIAUX!$A$1:$D$27,4,FALSE)*J37,0),
IFERROR(VLOOKUP(K37,MATERIAUX!$A$1:$D$27,4,FALSE)*L37,0),
IFERROR(VLOOKUP(M37,MATERIAUX!$A$1:$D$27,4,FALSE)*N37,0),
IFERROR(VLOOKUP(O37,MATERIAUX!$A$1:$D$27,4,FALSE)*P37,0)
)</f>
        <v>0.33333333333333331</v>
      </c>
      <c r="R37" s="3"/>
      <c r="S37" s="3"/>
    </row>
    <row r="38" spans="1:19" ht="18.75">
      <c r="A38" s="5" t="s">
        <v>68</v>
      </c>
      <c r="B38" s="6">
        <v>40</v>
      </c>
      <c r="C38" s="6">
        <f t="shared" si="0"/>
        <v>32.799999999999997</v>
      </c>
      <c r="D38" s="15">
        <f t="shared" si="1"/>
        <v>4.5555555555555554</v>
      </c>
      <c r="E38" s="5" t="s">
        <v>37</v>
      </c>
      <c r="F38" s="5">
        <v>12</v>
      </c>
      <c r="G38" s="5" t="s">
        <v>32</v>
      </c>
      <c r="H38" s="5">
        <v>2</v>
      </c>
      <c r="I38" s="5"/>
      <c r="J38" s="5"/>
      <c r="K38" s="5"/>
      <c r="L38" s="5"/>
      <c r="M38" s="5"/>
      <c r="N38" s="5"/>
      <c r="O38" s="5"/>
      <c r="P38" s="5"/>
      <c r="Q38" s="6">
        <f>SUM(
IFERROR(VLOOKUP(E38,MATERIAUX!$A$1:$D$27,4,FALSE)*F38,0),
IFERROR(VLOOKUP(G38,MATERIAUX!$A$1:$D$27,4,FALSE)*H38,0),
IFERROR(VLOOKUP(I38,MATERIAUX!$A$1:$D$27,4,FALSE)*J38,0),
IFERROR(VLOOKUP(K38,MATERIAUX!$A$1:$D$27,4,FALSE)*L38,0),
IFERROR(VLOOKUP(M38,MATERIAUX!$A$1:$D$27,4,FALSE)*N38,0),
IFERROR(VLOOKUP(O38,MATERIAUX!$A$1:$D$27,4,FALSE)*P38,0)
)</f>
        <v>7.2</v>
      </c>
      <c r="R38" s="3"/>
      <c r="S38" s="3"/>
    </row>
    <row r="39" spans="1:19" ht="18.75">
      <c r="A39" s="5" t="s">
        <v>69</v>
      </c>
      <c r="B39" s="6">
        <v>40</v>
      </c>
      <c r="C39" s="6">
        <f t="shared" si="0"/>
        <v>32.799999999999997</v>
      </c>
      <c r="D39" s="15">
        <f t="shared" si="1"/>
        <v>4.5555555555555554</v>
      </c>
      <c r="E39" s="5" t="s">
        <v>37</v>
      </c>
      <c r="F39" s="5">
        <v>12</v>
      </c>
      <c r="G39" s="5" t="s">
        <v>32</v>
      </c>
      <c r="H39" s="5">
        <v>2</v>
      </c>
      <c r="I39" s="5"/>
      <c r="J39" s="5"/>
      <c r="K39" s="5"/>
      <c r="L39" s="5"/>
      <c r="M39" s="5"/>
      <c r="N39" s="5"/>
      <c r="O39" s="5"/>
      <c r="P39" s="5"/>
      <c r="Q39" s="6">
        <f>SUM(
IFERROR(VLOOKUP(E39,MATERIAUX!$A$1:$D$27,4,FALSE)*F39,0),
IFERROR(VLOOKUP(G39,MATERIAUX!$A$1:$D$27,4,FALSE)*H39,0),
IFERROR(VLOOKUP(I39,MATERIAUX!$A$1:$D$27,4,FALSE)*J39,0),
IFERROR(VLOOKUP(K39,MATERIAUX!$A$1:$D$27,4,FALSE)*L39,0),
IFERROR(VLOOKUP(M39,MATERIAUX!$A$1:$D$27,4,FALSE)*N39,0),
IFERROR(VLOOKUP(O39,MATERIAUX!$A$1:$D$27,4,FALSE)*P39,0)
)</f>
        <v>7.2</v>
      </c>
      <c r="R39" s="3"/>
      <c r="S39" s="3"/>
    </row>
    <row r="40" spans="1:19" ht="18.75">
      <c r="A40" s="5" t="s">
        <v>70</v>
      </c>
      <c r="B40" s="6">
        <v>40</v>
      </c>
      <c r="C40" s="6">
        <f t="shared" si="0"/>
        <v>32.799999999999997</v>
      </c>
      <c r="D40" s="15">
        <f t="shared" si="1"/>
        <v>4.5555555555555554</v>
      </c>
      <c r="E40" s="5" t="s">
        <v>37</v>
      </c>
      <c r="F40" s="5">
        <v>12</v>
      </c>
      <c r="G40" s="5" t="s">
        <v>32</v>
      </c>
      <c r="H40" s="5">
        <v>2</v>
      </c>
      <c r="I40" s="5"/>
      <c r="J40" s="5"/>
      <c r="K40" s="5"/>
      <c r="L40" s="5"/>
      <c r="M40" s="5"/>
      <c r="N40" s="5"/>
      <c r="O40" s="5"/>
      <c r="P40" s="5"/>
      <c r="Q40" s="6">
        <f>SUM(
IFERROR(VLOOKUP(E40,MATERIAUX!$A$1:$D$27,4,FALSE)*F40,0),
IFERROR(VLOOKUP(G40,MATERIAUX!$A$1:$D$27,4,FALSE)*H40,0),
IFERROR(VLOOKUP(I40,MATERIAUX!$A$1:$D$27,4,FALSE)*J40,0),
IFERROR(VLOOKUP(K40,MATERIAUX!$A$1:$D$27,4,FALSE)*L40,0),
IFERROR(VLOOKUP(M40,MATERIAUX!$A$1:$D$27,4,FALSE)*N40,0),
IFERROR(VLOOKUP(O40,MATERIAUX!$A$1:$D$27,4,FALSE)*P40,0)
)</f>
        <v>7.2</v>
      </c>
      <c r="R40" s="3"/>
      <c r="S40" s="3"/>
    </row>
    <row r="41" spans="1:19" ht="18.75">
      <c r="A41" s="5" t="s">
        <v>71</v>
      </c>
      <c r="B41" s="6">
        <v>40</v>
      </c>
      <c r="C41" s="6">
        <f t="shared" si="0"/>
        <v>32.799999999999997</v>
      </c>
      <c r="D41" s="15">
        <f t="shared" si="1"/>
        <v>4.5555555555555554</v>
      </c>
      <c r="E41" s="5" t="s">
        <v>37</v>
      </c>
      <c r="F41" s="5">
        <v>12</v>
      </c>
      <c r="G41" s="5" t="s">
        <v>32</v>
      </c>
      <c r="H41" s="5">
        <v>2</v>
      </c>
      <c r="I41" s="5"/>
      <c r="J41" s="5"/>
      <c r="K41" s="5"/>
      <c r="L41" s="5"/>
      <c r="M41" s="5"/>
      <c r="N41" s="5"/>
      <c r="O41" s="5"/>
      <c r="P41" s="5"/>
      <c r="Q41" s="6">
        <f>SUM(
IFERROR(VLOOKUP(E41,MATERIAUX!$A$1:$D$27,4,FALSE)*F41,0),
IFERROR(VLOOKUP(G41,MATERIAUX!$A$1:$D$27,4,FALSE)*H41,0),
IFERROR(VLOOKUP(I41,MATERIAUX!$A$1:$D$27,4,FALSE)*J41,0),
IFERROR(VLOOKUP(K41,MATERIAUX!$A$1:$D$27,4,FALSE)*L41,0),
IFERROR(VLOOKUP(M41,MATERIAUX!$A$1:$D$27,4,FALSE)*N41,0),
IFERROR(VLOOKUP(O41,MATERIAUX!$A$1:$D$27,4,FALSE)*P41,0)
)</f>
        <v>7.2</v>
      </c>
      <c r="R41" s="3"/>
      <c r="S41" s="3"/>
    </row>
    <row r="42" spans="1:19" ht="18.75">
      <c r="A42" s="5" t="s">
        <v>72</v>
      </c>
      <c r="B42" s="6">
        <v>40</v>
      </c>
      <c r="C42" s="6">
        <f t="shared" si="0"/>
        <v>32.799999999999997</v>
      </c>
      <c r="D42" s="15">
        <f t="shared" si="1"/>
        <v>4.5555555555555554</v>
      </c>
      <c r="E42" s="5" t="s">
        <v>37</v>
      </c>
      <c r="F42" s="5">
        <v>12</v>
      </c>
      <c r="G42" s="5" t="s">
        <v>32</v>
      </c>
      <c r="H42" s="5">
        <v>2</v>
      </c>
      <c r="I42" s="5"/>
      <c r="J42" s="5"/>
      <c r="K42" s="5"/>
      <c r="L42" s="5"/>
      <c r="M42" s="5"/>
      <c r="N42" s="5"/>
      <c r="O42" s="5"/>
      <c r="P42" s="5"/>
      <c r="Q42" s="6">
        <f>SUM(
IFERROR(VLOOKUP(E42,MATERIAUX!$A$1:$D$27,4,FALSE)*F42,0),
IFERROR(VLOOKUP(G42,MATERIAUX!$A$1:$D$27,4,FALSE)*H42,0),
IFERROR(VLOOKUP(I42,MATERIAUX!$A$1:$D$27,4,FALSE)*J42,0),
IFERROR(VLOOKUP(K42,MATERIAUX!$A$1:$D$27,4,FALSE)*L42,0),
IFERROR(VLOOKUP(M42,MATERIAUX!$A$1:$D$27,4,FALSE)*N42,0),
IFERROR(VLOOKUP(O42,MATERIAUX!$A$1:$D$27,4,FALSE)*P42,0)
)</f>
        <v>7.2</v>
      </c>
      <c r="R42" s="3"/>
      <c r="S42" s="3"/>
    </row>
    <row r="43" spans="1:19" ht="18.75">
      <c r="A43" s="5" t="s">
        <v>73</v>
      </c>
      <c r="B43" s="6">
        <v>40</v>
      </c>
      <c r="C43" s="6">
        <f t="shared" si="0"/>
        <v>32.799999999999997</v>
      </c>
      <c r="D43" s="15">
        <f t="shared" si="1"/>
        <v>4.5555555555555554</v>
      </c>
      <c r="E43" s="5" t="s">
        <v>37</v>
      </c>
      <c r="F43" s="5">
        <v>12</v>
      </c>
      <c r="G43" s="5" t="s">
        <v>32</v>
      </c>
      <c r="H43" s="5">
        <v>2</v>
      </c>
      <c r="I43" s="5"/>
      <c r="J43" s="5"/>
      <c r="K43" s="5"/>
      <c r="L43" s="5"/>
      <c r="M43" s="5"/>
      <c r="N43" s="5"/>
      <c r="O43" s="5"/>
      <c r="P43" s="5"/>
      <c r="Q43" s="6">
        <f>SUM(
IFERROR(VLOOKUP(E43,MATERIAUX!$A$1:$D$27,4,FALSE)*F43,0),
IFERROR(VLOOKUP(G43,MATERIAUX!$A$1:$D$27,4,FALSE)*H43,0),
IFERROR(VLOOKUP(I43,MATERIAUX!$A$1:$D$27,4,FALSE)*J43,0),
IFERROR(VLOOKUP(K43,MATERIAUX!$A$1:$D$27,4,FALSE)*L43,0),
IFERROR(VLOOKUP(M43,MATERIAUX!$A$1:$D$27,4,FALSE)*N43,0),
IFERROR(VLOOKUP(O43,MATERIAUX!$A$1:$D$27,4,FALSE)*P43,0)
)</f>
        <v>7.2</v>
      </c>
      <c r="R43" s="3"/>
      <c r="S43" s="3"/>
    </row>
    <row r="44" spans="1:19" ht="18.75">
      <c r="A44" s="5" t="s">
        <v>74</v>
      </c>
      <c r="B44" s="6">
        <v>20</v>
      </c>
      <c r="C44" s="6">
        <f t="shared" si="0"/>
        <v>18.666666666666668</v>
      </c>
      <c r="D44" s="15">
        <f t="shared" si="1"/>
        <v>14.000000000000002</v>
      </c>
      <c r="E44" s="5" t="s">
        <v>30</v>
      </c>
      <c r="F44" s="5">
        <v>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6">
        <f>SUM(
IFERROR(VLOOKUP(E44,MATERIAUX!$A$1:$D$27,4,FALSE)*F44,0),
IFERROR(VLOOKUP(G44,MATERIAUX!$A$1:$D$27,4,FALSE)*H44,0),
IFERROR(VLOOKUP(I44,MATERIAUX!$A$1:$D$27,4,FALSE)*J44,0),
IFERROR(VLOOKUP(K44,MATERIAUX!$A$1:$D$27,4,FALSE)*L44,0),
IFERROR(VLOOKUP(M44,MATERIAUX!$A$1:$D$27,4,FALSE)*N44,0),
IFERROR(VLOOKUP(O44,MATERIAUX!$A$1:$D$27,4,FALSE)*P44,0)
)</f>
        <v>1.3333333333333333</v>
      </c>
      <c r="R44" s="3"/>
      <c r="S44" s="3"/>
    </row>
    <row r="45" spans="1:19" ht="18.75">
      <c r="A45" s="5" t="s">
        <v>75</v>
      </c>
      <c r="B45" s="6">
        <v>20</v>
      </c>
      <c r="C45" s="6">
        <f t="shared" si="0"/>
        <v>18.666666666666668</v>
      </c>
      <c r="D45" s="15">
        <f t="shared" si="1"/>
        <v>14.000000000000002</v>
      </c>
      <c r="E45" s="5" t="s">
        <v>30</v>
      </c>
      <c r="F45" s="5">
        <v>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6">
        <f>SUM(
IFERROR(VLOOKUP(E45,MATERIAUX!$A$1:$D$27,4,FALSE)*F45,0),
IFERROR(VLOOKUP(G45,MATERIAUX!$A$1:$D$27,4,FALSE)*H45,0),
IFERROR(VLOOKUP(I45,MATERIAUX!$A$1:$D$27,4,FALSE)*J45,0),
IFERROR(VLOOKUP(K45,MATERIAUX!$A$1:$D$27,4,FALSE)*L45,0),
IFERROR(VLOOKUP(M45,MATERIAUX!$A$1:$D$27,4,FALSE)*N45,0),
IFERROR(VLOOKUP(O45,MATERIAUX!$A$1:$D$27,4,FALSE)*P45,0)
)</f>
        <v>1.3333333333333333</v>
      </c>
      <c r="R45" s="3"/>
      <c r="S45" s="3"/>
    </row>
    <row r="46" spans="1:19" ht="18.75">
      <c r="A46" s="5" t="s">
        <v>76</v>
      </c>
      <c r="B46" s="6">
        <v>20</v>
      </c>
      <c r="C46" s="6">
        <f t="shared" si="0"/>
        <v>16</v>
      </c>
      <c r="D46" s="15">
        <f t="shared" si="1"/>
        <v>4</v>
      </c>
      <c r="E46" s="5" t="s">
        <v>30</v>
      </c>
      <c r="F46" s="5">
        <v>3</v>
      </c>
      <c r="G46" s="5" t="s">
        <v>32</v>
      </c>
      <c r="H46" s="5">
        <v>1</v>
      </c>
      <c r="I46" s="5"/>
      <c r="J46" s="5"/>
      <c r="K46" s="5"/>
      <c r="L46" s="5"/>
      <c r="M46" s="5"/>
      <c r="N46" s="5"/>
      <c r="O46" s="5"/>
      <c r="P46" s="5"/>
      <c r="Q46" s="6">
        <f>SUM(
IFERROR(VLOOKUP(E46,MATERIAUX!$A$1:$D$27,4,FALSE)*F46,0),
IFERROR(VLOOKUP(G46,MATERIAUX!$A$1:$D$27,4,FALSE)*H46,0),
IFERROR(VLOOKUP(I46,MATERIAUX!$A$1:$D$27,4,FALSE)*J46,0),
IFERROR(VLOOKUP(K46,MATERIAUX!$A$1:$D$27,4,FALSE)*L46,0),
IFERROR(VLOOKUP(M46,MATERIAUX!$A$1:$D$27,4,FALSE)*N46,0),
IFERROR(VLOOKUP(O46,MATERIAUX!$A$1:$D$27,4,FALSE)*P46,0)
)</f>
        <v>4</v>
      </c>
      <c r="R46" s="3"/>
      <c r="S46" s="3"/>
    </row>
    <row r="47" spans="1:19" ht="18.75">
      <c r="A47" s="5" t="s">
        <v>77</v>
      </c>
      <c r="B47" s="6">
        <v>40</v>
      </c>
      <c r="C47" s="6">
        <f t="shared" si="0"/>
        <v>37.25</v>
      </c>
      <c r="D47" s="15">
        <f t="shared" si="1"/>
        <v>13.545454545454545</v>
      </c>
      <c r="E47" s="5" t="s">
        <v>37</v>
      </c>
      <c r="F47" s="5">
        <v>5</v>
      </c>
      <c r="G47" s="5" t="s">
        <v>78</v>
      </c>
      <c r="H47" s="5">
        <v>3</v>
      </c>
      <c r="I47" s="5"/>
      <c r="J47" s="5"/>
      <c r="K47" s="5"/>
      <c r="L47" s="5"/>
      <c r="M47" s="5"/>
      <c r="N47" s="5"/>
      <c r="O47" s="5"/>
      <c r="P47" s="5"/>
      <c r="Q47" s="6">
        <f>SUM(
IFERROR(VLOOKUP(E47,MATERIAUX!$A$1:$D$27,4,FALSE)*F47,0),
IFERROR(VLOOKUP(G47,MATERIAUX!$A$1:$D$27,4,FALSE)*H47,0),
IFERROR(VLOOKUP(I47,MATERIAUX!$A$1:$D$27,4,FALSE)*J47,0),
IFERROR(VLOOKUP(K47,MATERIAUX!$A$1:$D$27,4,FALSE)*L47,0),
IFERROR(VLOOKUP(M47,MATERIAUX!$A$1:$D$27,4,FALSE)*N47,0),
IFERROR(VLOOKUP(O47,MATERIAUX!$A$1:$D$27,4,FALSE)*P47,0)
)</f>
        <v>2.75</v>
      </c>
      <c r="R47" s="3"/>
      <c r="S47" s="3"/>
    </row>
    <row r="48" spans="1:19" ht="18.75">
      <c r="A48" s="5" t="s">
        <v>79</v>
      </c>
      <c r="B48" s="6">
        <v>40</v>
      </c>
      <c r="C48" s="6">
        <f t="shared" si="0"/>
        <v>37.25</v>
      </c>
      <c r="D48" s="15">
        <f t="shared" si="1"/>
        <v>13.545454545454545</v>
      </c>
      <c r="E48" s="5" t="s">
        <v>37</v>
      </c>
      <c r="F48" s="5">
        <v>5</v>
      </c>
      <c r="G48" s="5" t="s">
        <v>78</v>
      </c>
      <c r="H48" s="5">
        <v>3</v>
      </c>
      <c r="I48" s="5"/>
      <c r="J48" s="5"/>
      <c r="K48" s="5"/>
      <c r="L48" s="5"/>
      <c r="M48" s="5"/>
      <c r="N48" s="5"/>
      <c r="O48" s="5"/>
      <c r="P48" s="5"/>
      <c r="Q48" s="6">
        <f>SUM(
IFERROR(VLOOKUP(E48,MATERIAUX!$A$1:$D$27,4,FALSE)*F48,0),
IFERROR(VLOOKUP(G48,MATERIAUX!$A$1:$D$27,4,FALSE)*H48,0),
IFERROR(VLOOKUP(I48,MATERIAUX!$A$1:$D$27,4,FALSE)*J48,0),
IFERROR(VLOOKUP(K48,MATERIAUX!$A$1:$D$27,4,FALSE)*L48,0),
IFERROR(VLOOKUP(M48,MATERIAUX!$A$1:$D$27,4,FALSE)*N48,0),
IFERROR(VLOOKUP(O48,MATERIAUX!$A$1:$D$27,4,FALSE)*P48,0)
)</f>
        <v>2.75</v>
      </c>
      <c r="R48" s="3"/>
      <c r="S48" s="3"/>
    </row>
    <row r="49" spans="1:19" ht="18.75">
      <c r="A49" s="5" t="s">
        <v>80</v>
      </c>
      <c r="B49" s="6">
        <v>20</v>
      </c>
      <c r="C49" s="6">
        <f t="shared" si="0"/>
        <v>18.666666666666668</v>
      </c>
      <c r="D49" s="15">
        <f t="shared" si="1"/>
        <v>14.000000000000002</v>
      </c>
      <c r="E49" s="5" t="s">
        <v>30</v>
      </c>
      <c r="F49" s="5">
        <v>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6">
        <f>SUM(
IFERROR(VLOOKUP(E49,MATERIAUX!$A$1:$D$27,4,FALSE)*F49,0),
IFERROR(VLOOKUP(G49,MATERIAUX!$A$1:$D$27,4,FALSE)*H49,0),
IFERROR(VLOOKUP(I49,MATERIAUX!$A$1:$D$27,4,FALSE)*J49,0),
IFERROR(VLOOKUP(K49,MATERIAUX!$A$1:$D$27,4,FALSE)*L49,0),
IFERROR(VLOOKUP(M49,MATERIAUX!$A$1:$D$27,4,FALSE)*N49,0),
IFERROR(VLOOKUP(O49,MATERIAUX!$A$1:$D$27,4,FALSE)*P49,0)
)</f>
        <v>1.3333333333333333</v>
      </c>
      <c r="R49" s="3"/>
      <c r="S49" s="3"/>
    </row>
    <row r="50" spans="1:19" ht="18.75">
      <c r="A50" s="5" t="s">
        <v>81</v>
      </c>
      <c r="B50" s="6">
        <v>20</v>
      </c>
      <c r="C50" s="6">
        <f t="shared" si="0"/>
        <v>18.666666666666668</v>
      </c>
      <c r="D50" s="15">
        <f t="shared" si="1"/>
        <v>14.000000000000002</v>
      </c>
      <c r="E50" s="5" t="s">
        <v>30</v>
      </c>
      <c r="F50" s="5">
        <v>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6">
        <f>SUM(
IFERROR(VLOOKUP(E50,MATERIAUX!$A$1:$D$27,4,FALSE)*F50,0),
IFERROR(VLOOKUP(G50,MATERIAUX!$A$1:$D$27,4,FALSE)*H50,0),
IFERROR(VLOOKUP(I50,MATERIAUX!$A$1:$D$27,4,FALSE)*J50,0),
IFERROR(VLOOKUP(K50,MATERIAUX!$A$1:$D$27,4,FALSE)*L50,0),
IFERROR(VLOOKUP(M50,MATERIAUX!$A$1:$D$27,4,FALSE)*N50,0),
IFERROR(VLOOKUP(O50,MATERIAUX!$A$1:$D$27,4,FALSE)*P50,0)
)</f>
        <v>1.3333333333333333</v>
      </c>
      <c r="R50" s="3"/>
      <c r="S50" s="3"/>
    </row>
    <row r="51" spans="1:19" ht="18.75">
      <c r="A51" s="5" t="s">
        <v>82</v>
      </c>
      <c r="B51" s="6">
        <v>20</v>
      </c>
      <c r="C51" s="6">
        <f t="shared" si="0"/>
        <v>19.666666666666668</v>
      </c>
      <c r="D51" s="15">
        <f t="shared" si="1"/>
        <v>59.000000000000007</v>
      </c>
      <c r="E51" s="5" t="s">
        <v>30</v>
      </c>
      <c r="F51" s="5">
        <v>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6">
        <f>SUM(
IFERROR(VLOOKUP(E51,MATERIAUX!$A$1:$D$27,4,FALSE)*F51,0),
IFERROR(VLOOKUP(G51,MATERIAUX!$A$1:$D$27,4,FALSE)*H51,0),
IFERROR(VLOOKUP(I51,MATERIAUX!$A$1:$D$27,4,FALSE)*J51,0),
IFERROR(VLOOKUP(K51,MATERIAUX!$A$1:$D$27,4,FALSE)*L51,0),
IFERROR(VLOOKUP(M51,MATERIAUX!$A$1:$D$27,4,FALSE)*N51,0),
IFERROR(VLOOKUP(O51,MATERIAUX!$A$1:$D$27,4,FALSE)*P51,0)
)</f>
        <v>0.33333333333333331</v>
      </c>
      <c r="R51" s="3"/>
      <c r="S51" s="3"/>
    </row>
    <row r="52" spans="1:19" ht="18.75">
      <c r="A52" s="5" t="s">
        <v>83</v>
      </c>
      <c r="B52" s="6">
        <v>20</v>
      </c>
      <c r="C52" s="6">
        <f t="shared" si="0"/>
        <v>18.666666666666668</v>
      </c>
      <c r="D52" s="15">
        <f t="shared" si="1"/>
        <v>14.000000000000002</v>
      </c>
      <c r="E52" s="5" t="s">
        <v>30</v>
      </c>
      <c r="F52" s="5">
        <v>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6">
        <f>SUM(
IFERROR(VLOOKUP(E52,MATERIAUX!$A$1:$D$27,4,FALSE)*F52,0),
IFERROR(VLOOKUP(G52,MATERIAUX!$A$1:$D$27,4,FALSE)*H52,0),
IFERROR(VLOOKUP(I52,MATERIAUX!$A$1:$D$27,4,FALSE)*J52,0),
IFERROR(VLOOKUP(K52,MATERIAUX!$A$1:$D$27,4,FALSE)*L52,0),
IFERROR(VLOOKUP(M52,MATERIAUX!$A$1:$D$27,4,FALSE)*N52,0),
IFERROR(VLOOKUP(O52,MATERIAUX!$A$1:$D$27,4,FALSE)*P52,0)
)</f>
        <v>1.3333333333333333</v>
      </c>
      <c r="R52" s="3"/>
      <c r="S52" s="3"/>
    </row>
    <row r="53" spans="1:19" ht="18.75">
      <c r="A53" s="5" t="s">
        <v>84</v>
      </c>
      <c r="B53" s="6">
        <v>20</v>
      </c>
      <c r="C53" s="6">
        <f t="shared" si="0"/>
        <v>15.666666666666668</v>
      </c>
      <c r="D53" s="15">
        <f t="shared" si="1"/>
        <v>3.6153846153846159</v>
      </c>
      <c r="E53" s="5" t="s">
        <v>30</v>
      </c>
      <c r="F53" s="5">
        <v>4</v>
      </c>
      <c r="G53" s="5" t="s">
        <v>32</v>
      </c>
      <c r="H53" s="5">
        <v>1</v>
      </c>
      <c r="I53" s="5"/>
      <c r="J53" s="5"/>
      <c r="K53" s="5" t="s">
        <v>85</v>
      </c>
      <c r="L53" s="5"/>
      <c r="M53" s="5"/>
      <c r="N53" s="5"/>
      <c r="O53" s="5"/>
      <c r="P53" s="5"/>
      <c r="Q53" s="6">
        <f>SUM(
IFERROR(VLOOKUP(E53,MATERIAUX!$A$1:$D$27,4,FALSE)*F53,0),
IFERROR(VLOOKUP(G53,MATERIAUX!$A$1:$D$27,4,FALSE)*H53,0),
IFERROR(VLOOKUP(I53,MATERIAUX!$A$1:$D$27,4,FALSE)*J53,0),
IFERROR(VLOOKUP(K53,MATERIAUX!$A$1:$D$27,4,FALSE)*L53,0),
IFERROR(VLOOKUP(M53,MATERIAUX!$A$1:$D$27,4,FALSE)*N53,0),
IFERROR(VLOOKUP(O53,MATERIAUX!$A$1:$D$27,4,FALSE)*P53,0)
)</f>
        <v>4.333333333333333</v>
      </c>
      <c r="R53" s="3"/>
      <c r="S53" s="3"/>
    </row>
    <row r="54" spans="1:19" ht="18.75">
      <c r="A54" s="5" t="s">
        <v>86</v>
      </c>
      <c r="B54" s="6">
        <v>40</v>
      </c>
      <c r="C54" s="6">
        <f t="shared" si="0"/>
        <v>35.333333333333336</v>
      </c>
      <c r="D54" s="15">
        <f t="shared" si="1"/>
        <v>7.571428571428573</v>
      </c>
      <c r="E54" s="5" t="s">
        <v>30</v>
      </c>
      <c r="F54" s="5">
        <v>5</v>
      </c>
      <c r="G54" s="5" t="s">
        <v>32</v>
      </c>
      <c r="H54" s="5">
        <v>1</v>
      </c>
      <c r="I54" s="5"/>
      <c r="J54" s="5"/>
      <c r="K54" s="5"/>
      <c r="L54" s="5"/>
      <c r="M54" s="5"/>
      <c r="N54" s="5"/>
      <c r="O54" s="5"/>
      <c r="P54" s="5"/>
      <c r="Q54" s="6">
        <f>SUM(
IFERROR(VLOOKUP(E54,MATERIAUX!$A$1:$D$27,4,FALSE)*F54,0),
IFERROR(VLOOKUP(G54,MATERIAUX!$A$1:$D$27,4,FALSE)*H54,0),
IFERROR(VLOOKUP(I54,MATERIAUX!$A$1:$D$27,4,FALSE)*J54,0),
IFERROR(VLOOKUP(K54,MATERIAUX!$A$1:$D$27,4,FALSE)*L54,0),
IFERROR(VLOOKUP(M54,MATERIAUX!$A$1:$D$27,4,FALSE)*N54,0),
IFERROR(VLOOKUP(O54,MATERIAUX!$A$1:$D$27,4,FALSE)*P54,0)
)</f>
        <v>4.6666666666666661</v>
      </c>
      <c r="R54" s="3"/>
      <c r="S54" s="3"/>
    </row>
    <row r="55" spans="1:19" ht="18.75">
      <c r="A55" s="5" t="s">
        <v>87</v>
      </c>
      <c r="B55" s="6">
        <v>20</v>
      </c>
      <c r="C55" s="6">
        <f t="shared" si="0"/>
        <v>19.333333333333332</v>
      </c>
      <c r="D55" s="15">
        <f t="shared" si="1"/>
        <v>29</v>
      </c>
      <c r="E55" s="5" t="s">
        <v>30</v>
      </c>
      <c r="F55" s="5">
        <v>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6">
        <f>SUM(
IFERROR(VLOOKUP(E55,MATERIAUX!$A$1:$D$27,4,FALSE)*F55,0),
IFERROR(VLOOKUP(G55,MATERIAUX!$A$1:$D$27,4,FALSE)*H55,0),
IFERROR(VLOOKUP(I55,MATERIAUX!$A$1:$D$27,4,FALSE)*J55,0),
IFERROR(VLOOKUP(K55,MATERIAUX!$A$1:$D$27,4,FALSE)*L55,0),
IFERROR(VLOOKUP(M55,MATERIAUX!$A$1:$D$27,4,FALSE)*N55,0),
IFERROR(VLOOKUP(O55,MATERIAUX!$A$1:$D$27,4,FALSE)*P55,0)
)</f>
        <v>0.66666666666666663</v>
      </c>
      <c r="R55" s="3"/>
      <c r="S55" s="3"/>
    </row>
    <row r="56" spans="1:19" ht="18.75">
      <c r="A56" s="5" t="s">
        <v>88</v>
      </c>
      <c r="B56" s="6">
        <v>10</v>
      </c>
      <c r="C56" s="6">
        <f t="shared" si="0"/>
        <v>9.6666666666666661</v>
      </c>
      <c r="D56" s="15">
        <f t="shared" si="1"/>
        <v>29</v>
      </c>
      <c r="E56" s="5" t="s">
        <v>30</v>
      </c>
      <c r="F56" s="5">
        <v>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6">
        <f>SUM(
IFERROR(VLOOKUP(E56,MATERIAUX!$A$1:$D$27,4,FALSE)*F56,0),
IFERROR(VLOOKUP(G56,MATERIAUX!$A$1:$D$27,4,FALSE)*H56,0),
IFERROR(VLOOKUP(I56,MATERIAUX!$A$1:$D$27,4,FALSE)*J56,0),
IFERROR(VLOOKUP(K56,MATERIAUX!$A$1:$D$27,4,FALSE)*L56,0),
IFERROR(VLOOKUP(M56,MATERIAUX!$A$1:$D$27,4,FALSE)*N56,0),
IFERROR(VLOOKUP(O56,MATERIAUX!$A$1:$D$27,4,FALSE)*P56,0)
)</f>
        <v>0.33333333333333331</v>
      </c>
      <c r="R56" s="3"/>
      <c r="S56" s="3"/>
    </row>
    <row r="57" spans="1:19" ht="18.75">
      <c r="A57" s="5" t="s">
        <v>89</v>
      </c>
      <c r="B57" s="6">
        <v>10</v>
      </c>
      <c r="C57" s="6">
        <f t="shared" si="0"/>
        <v>9.3333333333333339</v>
      </c>
      <c r="D57" s="15">
        <f t="shared" si="1"/>
        <v>14.000000000000002</v>
      </c>
      <c r="E57" s="5" t="s">
        <v>30</v>
      </c>
      <c r="F57" s="5">
        <v>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6">
        <f>SUM(
IFERROR(VLOOKUP(E57,MATERIAUX!$A$1:$D$27,4,FALSE)*F57,0),
IFERROR(VLOOKUP(G57,MATERIAUX!$A$1:$D$27,4,FALSE)*H57,0),
IFERROR(VLOOKUP(I57,MATERIAUX!$A$1:$D$27,4,FALSE)*J57,0),
IFERROR(VLOOKUP(K57,MATERIAUX!$A$1:$D$27,4,FALSE)*L57,0),
IFERROR(VLOOKUP(M57,MATERIAUX!$A$1:$D$27,4,FALSE)*N57,0),
IFERROR(VLOOKUP(O57,MATERIAUX!$A$1:$D$27,4,FALSE)*P57,0)
)</f>
        <v>0.66666666666666663</v>
      </c>
      <c r="R57" s="3"/>
      <c r="S57" s="3"/>
    </row>
    <row r="58" spans="1:19" ht="18.75">
      <c r="A58" s="5" t="s">
        <v>90</v>
      </c>
      <c r="B58" s="6">
        <v>20</v>
      </c>
      <c r="C58" s="6">
        <f t="shared" si="0"/>
        <v>19.333333333333332</v>
      </c>
      <c r="D58" s="15">
        <f t="shared" si="1"/>
        <v>29</v>
      </c>
      <c r="E58" s="5" t="s">
        <v>30</v>
      </c>
      <c r="F58" s="5">
        <v>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6">
        <f>SUM(
IFERROR(VLOOKUP(E58,MATERIAUX!$A$1:$D$27,4,FALSE)*F58,0),
IFERROR(VLOOKUP(G58,MATERIAUX!$A$1:$D$27,4,FALSE)*H58,0),
IFERROR(VLOOKUP(I58,MATERIAUX!$A$1:$D$27,4,FALSE)*J58,0),
IFERROR(VLOOKUP(K58,MATERIAUX!$A$1:$D$27,4,FALSE)*L58,0),
IFERROR(VLOOKUP(M58,MATERIAUX!$A$1:$D$27,4,FALSE)*N58,0),
IFERROR(VLOOKUP(O58,MATERIAUX!$A$1:$D$27,4,FALSE)*P58,0)
)</f>
        <v>0.66666666666666663</v>
      </c>
      <c r="R58" s="3"/>
      <c r="S58" s="3"/>
    </row>
    <row r="59" spans="1:19" ht="18.75">
      <c r="A59" s="5" t="s">
        <v>91</v>
      </c>
      <c r="B59" s="6">
        <v>20</v>
      </c>
      <c r="C59" s="6">
        <f t="shared" si="0"/>
        <v>19.333333333333332</v>
      </c>
      <c r="D59" s="15">
        <f t="shared" si="1"/>
        <v>29</v>
      </c>
      <c r="E59" s="5" t="s">
        <v>30</v>
      </c>
      <c r="F59" s="5">
        <v>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6">
        <f>SUM(
IFERROR(VLOOKUP(E59,MATERIAUX!$A$1:$D$27,4,FALSE)*F59,0),
IFERROR(VLOOKUP(G59,MATERIAUX!$A$1:$D$27,4,FALSE)*H59,0),
IFERROR(VLOOKUP(I59,MATERIAUX!$A$1:$D$27,4,FALSE)*J59,0),
IFERROR(VLOOKUP(K59,MATERIAUX!$A$1:$D$27,4,FALSE)*L59,0),
IFERROR(VLOOKUP(M59,MATERIAUX!$A$1:$D$27,4,FALSE)*N59,0),
IFERROR(VLOOKUP(O59,MATERIAUX!$A$1:$D$27,4,FALSE)*P59,0)
)</f>
        <v>0.66666666666666663</v>
      </c>
      <c r="R59" s="3"/>
      <c r="S59" s="3"/>
    </row>
    <row r="60" spans="1:19" ht="18.75">
      <c r="A60" s="5" t="s">
        <v>92</v>
      </c>
      <c r="B60" s="6">
        <v>20</v>
      </c>
      <c r="C60" s="6">
        <f t="shared" si="0"/>
        <v>18.666666666666668</v>
      </c>
      <c r="D60" s="15">
        <f t="shared" si="1"/>
        <v>14.000000000000002</v>
      </c>
      <c r="E60" s="5" t="s">
        <v>30</v>
      </c>
      <c r="F60" s="5">
        <v>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6">
        <f>SUM(
IFERROR(VLOOKUP(E60,MATERIAUX!$A$1:$D$27,4,FALSE)*F60,0),
IFERROR(VLOOKUP(G60,MATERIAUX!$A$1:$D$27,4,FALSE)*H60,0),
IFERROR(VLOOKUP(I60,MATERIAUX!$A$1:$D$27,4,FALSE)*J60,0),
IFERROR(VLOOKUP(K60,MATERIAUX!$A$1:$D$27,4,FALSE)*L60,0),
IFERROR(VLOOKUP(M60,MATERIAUX!$A$1:$D$27,4,FALSE)*N60,0),
IFERROR(VLOOKUP(O60,MATERIAUX!$A$1:$D$27,4,FALSE)*P60,0)
)</f>
        <v>1.3333333333333333</v>
      </c>
      <c r="R60" s="3"/>
      <c r="S60" s="3"/>
    </row>
    <row r="61" spans="1:19" ht="18.75">
      <c r="A61" s="5" t="s">
        <v>93</v>
      </c>
      <c r="B61" s="6">
        <v>20</v>
      </c>
      <c r="C61" s="6">
        <f t="shared" si="0"/>
        <v>19.333333333333332</v>
      </c>
      <c r="D61" s="15">
        <f t="shared" si="1"/>
        <v>29</v>
      </c>
      <c r="E61" s="5" t="s">
        <v>30</v>
      </c>
      <c r="F61" s="5">
        <v>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6">
        <f>SUM(
IFERROR(VLOOKUP(E61,MATERIAUX!$A$1:$D$27,4,FALSE)*F61,0),
IFERROR(VLOOKUP(G61,MATERIAUX!$A$1:$D$27,4,FALSE)*H61,0),
IFERROR(VLOOKUP(I61,MATERIAUX!$A$1:$D$27,4,FALSE)*J61,0),
IFERROR(VLOOKUP(K61,MATERIAUX!$A$1:$D$27,4,FALSE)*L61,0),
IFERROR(VLOOKUP(M61,MATERIAUX!$A$1:$D$27,4,FALSE)*N61,0),
IFERROR(VLOOKUP(O61,MATERIAUX!$A$1:$D$27,4,FALSE)*P61,0)
)</f>
        <v>0.66666666666666663</v>
      </c>
      <c r="R61" s="3"/>
      <c r="S61" s="3"/>
    </row>
    <row r="62" spans="1:19" ht="18.75">
      <c r="A62" s="5" t="s">
        <v>94</v>
      </c>
      <c r="B62" s="6">
        <v>10</v>
      </c>
      <c r="C62" s="6">
        <f t="shared" si="0"/>
        <v>9.3333333333333339</v>
      </c>
      <c r="D62" s="15">
        <f t="shared" si="1"/>
        <v>14.000000000000002</v>
      </c>
      <c r="E62" s="5" t="s">
        <v>30</v>
      </c>
      <c r="F62" s="5">
        <v>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6">
        <f>SUM(
IFERROR(VLOOKUP(E62,MATERIAUX!$A$1:$D$27,4,FALSE)*F62,0),
IFERROR(VLOOKUP(G62,MATERIAUX!$A$1:$D$27,4,FALSE)*H62,0),
IFERROR(VLOOKUP(I62,MATERIAUX!$A$1:$D$27,4,FALSE)*J62,0),
IFERROR(VLOOKUP(K62,MATERIAUX!$A$1:$D$27,4,FALSE)*L62,0),
IFERROR(VLOOKUP(M62,MATERIAUX!$A$1:$D$27,4,FALSE)*N62,0),
IFERROR(VLOOKUP(O62,MATERIAUX!$A$1:$D$27,4,FALSE)*P62,0)
)</f>
        <v>0.66666666666666663</v>
      </c>
      <c r="R62" s="3"/>
      <c r="S62" s="3"/>
    </row>
    <row r="63" spans="1:19" ht="18.75">
      <c r="A63" s="5" t="s">
        <v>95</v>
      </c>
      <c r="B63" s="6">
        <v>10</v>
      </c>
      <c r="C63" s="6">
        <f t="shared" si="0"/>
        <v>9.3333333333333339</v>
      </c>
      <c r="D63" s="15">
        <f t="shared" si="1"/>
        <v>14.000000000000002</v>
      </c>
      <c r="E63" s="5" t="s">
        <v>30</v>
      </c>
      <c r="F63" s="5">
        <v>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6">
        <f>SUM(
IFERROR(VLOOKUP(E63,MATERIAUX!$A$1:$D$27,4,FALSE)*F63,0),
IFERROR(VLOOKUP(G63,MATERIAUX!$A$1:$D$27,4,FALSE)*H63,0),
IFERROR(VLOOKUP(I63,MATERIAUX!$A$1:$D$27,4,FALSE)*J63,0),
IFERROR(VLOOKUP(K63,MATERIAUX!$A$1:$D$27,4,FALSE)*L63,0),
IFERROR(VLOOKUP(M63,MATERIAUX!$A$1:$D$27,4,FALSE)*N63,0),
IFERROR(VLOOKUP(O63,MATERIAUX!$A$1:$D$27,4,FALSE)*P63,0)
)</f>
        <v>0.66666666666666663</v>
      </c>
      <c r="R63" s="3"/>
      <c r="S63" s="3"/>
    </row>
    <row r="64" spans="1:19" ht="18.75">
      <c r="A64" s="5" t="s">
        <v>96</v>
      </c>
      <c r="B64" s="6">
        <v>200</v>
      </c>
      <c r="C64" s="6">
        <f t="shared" si="0"/>
        <v>96.666666666666671</v>
      </c>
      <c r="D64" s="15">
        <f t="shared" si="1"/>
        <v>0.93548387096774199</v>
      </c>
      <c r="E64" s="5" t="s">
        <v>30</v>
      </c>
      <c r="F64" s="5">
        <v>10</v>
      </c>
      <c r="G64" s="5" t="s">
        <v>97</v>
      </c>
      <c r="H64" s="5">
        <v>2</v>
      </c>
      <c r="I64" s="5"/>
      <c r="J64" s="5"/>
      <c r="K64" s="5"/>
      <c r="L64" s="5"/>
      <c r="M64" s="5"/>
      <c r="N64" s="5"/>
      <c r="O64" s="5"/>
      <c r="P64" s="5"/>
      <c r="Q64" s="6">
        <f>SUM(
IFERROR(VLOOKUP(E64,MATERIAUX!$A$1:$D$27,4,FALSE)*F64,0),
IFERROR(VLOOKUP(G64,MATERIAUX!$A$1:$D$27,4,FALSE)*H64,0),
IFERROR(VLOOKUP(I64,MATERIAUX!$A$1:$D$27,4,FALSE)*J64,0),
IFERROR(VLOOKUP(K64,MATERIAUX!$A$1:$D$27,4,FALSE)*L64,0),
IFERROR(VLOOKUP(M64,MATERIAUX!$A$1:$D$27,4,FALSE)*N64,0),
IFERROR(VLOOKUP(O64,MATERIAUX!$A$1:$D$27,4,FALSE)*P64,0)
)</f>
        <v>103.33333333333333</v>
      </c>
      <c r="R64" s="3"/>
      <c r="S64" s="3"/>
    </row>
    <row r="65" spans="1:19" ht="18.75">
      <c r="A65" s="5" t="s">
        <v>98</v>
      </c>
      <c r="B65" s="6">
        <v>100</v>
      </c>
      <c r="C65" s="6">
        <f t="shared" si="0"/>
        <v>76.666666666666671</v>
      </c>
      <c r="D65" s="15">
        <f t="shared" si="1"/>
        <v>3.285714285714286</v>
      </c>
      <c r="E65" s="5" t="s">
        <v>30</v>
      </c>
      <c r="F65" s="5">
        <v>10</v>
      </c>
      <c r="G65" s="5" t="s">
        <v>42</v>
      </c>
      <c r="H65" s="5">
        <v>2</v>
      </c>
      <c r="I65" s="5"/>
      <c r="J65" s="5"/>
      <c r="K65" s="5"/>
      <c r="L65" s="5"/>
      <c r="M65" s="5"/>
      <c r="N65" s="5"/>
      <c r="O65" s="5"/>
      <c r="P65" s="5"/>
      <c r="Q65" s="6">
        <f>SUM(
IFERROR(VLOOKUP(E65,MATERIAUX!$A$1:$D$27,4,FALSE)*F65,0),
IFERROR(VLOOKUP(G65,MATERIAUX!$A$1:$D$27,4,FALSE)*H65,0),
IFERROR(VLOOKUP(I65,MATERIAUX!$A$1:$D$27,4,FALSE)*J65,0),
IFERROR(VLOOKUP(K65,MATERIAUX!$A$1:$D$27,4,FALSE)*L65,0),
IFERROR(VLOOKUP(M65,MATERIAUX!$A$1:$D$27,4,FALSE)*N65,0),
IFERROR(VLOOKUP(O65,MATERIAUX!$A$1:$D$27,4,FALSE)*P65,0)
)</f>
        <v>23.333333333333332</v>
      </c>
      <c r="R65" s="3"/>
      <c r="S65" s="3"/>
    </row>
    <row r="66" spans="1:19" ht="18.75">
      <c r="A66" s="5" t="s">
        <v>99</v>
      </c>
      <c r="B66" s="6">
        <v>20</v>
      </c>
      <c r="C66" s="6">
        <f t="shared" si="0"/>
        <v>16.666666666666668</v>
      </c>
      <c r="D66" s="15">
        <f t="shared" si="1"/>
        <v>5.0000000000000009</v>
      </c>
      <c r="E66" s="5" t="s">
        <v>30</v>
      </c>
      <c r="F66" s="5">
        <v>10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6">
        <f>SUM(
IFERROR(VLOOKUP(E66,MATERIAUX!$A$1:$D$27,4,FALSE)*F66,0),
IFERROR(VLOOKUP(G66,MATERIAUX!$A$1:$D$27,4,FALSE)*H66,0),
IFERROR(VLOOKUP(I66,MATERIAUX!$A$1:$D$27,4,FALSE)*J66,0),
IFERROR(VLOOKUP(K66,MATERIAUX!$A$1:$D$27,4,FALSE)*L66,0),
IFERROR(VLOOKUP(M66,MATERIAUX!$A$1:$D$27,4,FALSE)*N66,0),
IFERROR(VLOOKUP(O66,MATERIAUX!$A$1:$D$27,4,FALSE)*P66,0)
)</f>
        <v>3.333333333333333</v>
      </c>
      <c r="R66" s="3"/>
      <c r="S66" s="3"/>
    </row>
    <row r="67" spans="1:19" ht="18.75">
      <c r="A67" s="5" t="s">
        <v>100</v>
      </c>
      <c r="B67" s="6">
        <v>20</v>
      </c>
      <c r="C67" s="6">
        <f t="shared" ref="C67:C117" si="2">B67-Q67</f>
        <v>13.666666666666668</v>
      </c>
      <c r="D67" s="15">
        <f t="shared" ref="D67:D117" si="3">(C67/Q67)</f>
        <v>2.1578947368421058</v>
      </c>
      <c r="E67" s="5" t="s">
        <v>30</v>
      </c>
      <c r="F67" s="5">
        <v>10</v>
      </c>
      <c r="G67" s="5" t="s">
        <v>101</v>
      </c>
      <c r="H67" s="5">
        <v>1</v>
      </c>
      <c r="I67" s="5"/>
      <c r="J67" s="5"/>
      <c r="K67" s="5"/>
      <c r="L67" s="5"/>
      <c r="M67" s="5"/>
      <c r="N67" s="5"/>
      <c r="O67" s="5"/>
      <c r="P67" s="5"/>
      <c r="Q67" s="6">
        <f>SUM(
IFERROR(VLOOKUP(E67,MATERIAUX!$A$1:$D$27,4,FALSE)*F67,0),
IFERROR(VLOOKUP(G67,MATERIAUX!$A$1:$D$27,4,FALSE)*H67,0),
IFERROR(VLOOKUP(I67,MATERIAUX!$A$1:$D$27,4,FALSE)*J67,0),
IFERROR(VLOOKUP(K67,MATERIAUX!$A$1:$D$27,4,FALSE)*L67,0),
IFERROR(VLOOKUP(M67,MATERIAUX!$A$1:$D$27,4,FALSE)*N67,0),
IFERROR(VLOOKUP(O67,MATERIAUX!$A$1:$D$27,4,FALSE)*P67,0)
)</f>
        <v>6.333333333333333</v>
      </c>
      <c r="R67" s="3"/>
      <c r="S67" s="3"/>
    </row>
    <row r="68" spans="1:19" ht="18.75">
      <c r="A68" s="5" t="s">
        <v>102</v>
      </c>
      <c r="B68" s="6">
        <v>20</v>
      </c>
      <c r="C68" s="6">
        <f t="shared" si="2"/>
        <v>15.916666666666668</v>
      </c>
      <c r="D68" s="15">
        <f t="shared" si="3"/>
        <v>3.8979591836734699</v>
      </c>
      <c r="E68" s="5" t="s">
        <v>30</v>
      </c>
      <c r="F68" s="5">
        <v>10</v>
      </c>
      <c r="G68" s="5" t="s">
        <v>78</v>
      </c>
      <c r="H68" s="5">
        <v>1</v>
      </c>
      <c r="I68" s="5"/>
      <c r="J68" s="5"/>
      <c r="K68" s="5"/>
      <c r="L68" s="5"/>
      <c r="M68" s="5"/>
      <c r="N68" s="5"/>
      <c r="O68" s="5"/>
      <c r="P68" s="5"/>
      <c r="Q68" s="6">
        <f>SUM(
IFERROR(VLOOKUP(E68,MATERIAUX!$A$1:$D$27,4,FALSE)*F68,0),
IFERROR(VLOOKUP(G68,MATERIAUX!$A$1:$D$27,4,FALSE)*H68,0),
IFERROR(VLOOKUP(I68,MATERIAUX!$A$1:$D$27,4,FALSE)*J68,0),
IFERROR(VLOOKUP(K68,MATERIAUX!$A$1:$D$27,4,FALSE)*L68,0),
IFERROR(VLOOKUP(M68,MATERIAUX!$A$1:$D$27,4,FALSE)*N68,0),
IFERROR(VLOOKUP(O68,MATERIAUX!$A$1:$D$27,4,FALSE)*P68,0)
)</f>
        <v>4.083333333333333</v>
      </c>
      <c r="R68" s="3"/>
      <c r="S68" s="3"/>
    </row>
    <row r="69" spans="1:19" ht="18.75">
      <c r="A69" s="5" t="s">
        <v>103</v>
      </c>
      <c r="B69" s="6">
        <v>20</v>
      </c>
      <c r="C69" s="6">
        <f t="shared" si="2"/>
        <v>15.166666666666668</v>
      </c>
      <c r="D69" s="15">
        <f t="shared" si="3"/>
        <v>3.1379310344827589</v>
      </c>
      <c r="E69" s="5" t="s">
        <v>30</v>
      </c>
      <c r="F69" s="5">
        <v>10</v>
      </c>
      <c r="G69" s="5" t="s">
        <v>78</v>
      </c>
      <c r="H69" s="5">
        <v>2</v>
      </c>
      <c r="I69" s="5"/>
      <c r="J69" s="5"/>
      <c r="K69" s="5"/>
      <c r="L69" s="5"/>
      <c r="M69" s="5"/>
      <c r="N69" s="5"/>
      <c r="O69" s="5"/>
      <c r="P69" s="5"/>
      <c r="Q69" s="6">
        <f>SUM(
IFERROR(VLOOKUP(E69,MATERIAUX!$A$1:$D$27,4,FALSE)*F69,0),
IFERROR(VLOOKUP(G69,MATERIAUX!$A$1:$D$27,4,FALSE)*H69,0),
IFERROR(VLOOKUP(I69,MATERIAUX!$A$1:$D$27,4,FALSE)*J69,0),
IFERROR(VLOOKUP(K69,MATERIAUX!$A$1:$D$27,4,FALSE)*L69,0),
IFERROR(VLOOKUP(M69,MATERIAUX!$A$1:$D$27,4,FALSE)*N69,0),
IFERROR(VLOOKUP(O69,MATERIAUX!$A$1:$D$27,4,FALSE)*P69,0)
)</f>
        <v>4.833333333333333</v>
      </c>
      <c r="R69" s="3"/>
      <c r="S69" s="3"/>
    </row>
    <row r="70" spans="1:19" ht="18.75">
      <c r="A70" s="5" t="s">
        <v>104</v>
      </c>
      <c r="B70" s="6">
        <v>20</v>
      </c>
      <c r="C70" s="6">
        <f t="shared" si="2"/>
        <v>16.666666666666668</v>
      </c>
      <c r="D70" s="15">
        <f t="shared" si="3"/>
        <v>5.0000000000000009</v>
      </c>
      <c r="E70" s="5" t="s">
        <v>30</v>
      </c>
      <c r="F70" s="5">
        <v>10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6">
        <f>SUM(
IFERROR(VLOOKUP(E70,MATERIAUX!$A$1:$D$27,4,FALSE)*F70,0),
IFERROR(VLOOKUP(G70,MATERIAUX!$A$1:$D$27,4,FALSE)*H70,0),
IFERROR(VLOOKUP(I70,MATERIAUX!$A$1:$D$27,4,FALSE)*J70,0),
IFERROR(VLOOKUP(K70,MATERIAUX!$A$1:$D$27,4,FALSE)*L70,0),
IFERROR(VLOOKUP(M70,MATERIAUX!$A$1:$D$27,4,FALSE)*N70,0),
IFERROR(VLOOKUP(O70,MATERIAUX!$A$1:$D$27,4,FALSE)*P70,0)
)</f>
        <v>3.333333333333333</v>
      </c>
      <c r="R70" s="3"/>
      <c r="S70" s="3"/>
    </row>
    <row r="71" spans="1:19" ht="18.75">
      <c r="A71" s="5" t="s">
        <v>105</v>
      </c>
      <c r="B71" s="6">
        <v>20</v>
      </c>
      <c r="C71" s="6">
        <f t="shared" si="2"/>
        <v>12.166666666666668</v>
      </c>
      <c r="D71" s="15">
        <f t="shared" si="3"/>
        <v>1.5531914893617023</v>
      </c>
      <c r="E71" s="5" t="s">
        <v>30</v>
      </c>
      <c r="F71" s="5">
        <v>10</v>
      </c>
      <c r="G71" s="5" t="s">
        <v>78</v>
      </c>
      <c r="H71" s="5">
        <v>2</v>
      </c>
      <c r="I71" s="5" t="s">
        <v>101</v>
      </c>
      <c r="J71" s="5">
        <v>1</v>
      </c>
      <c r="K71" s="5"/>
      <c r="L71" s="5"/>
      <c r="M71" s="5"/>
      <c r="N71" s="5"/>
      <c r="O71" s="5"/>
      <c r="P71" s="5"/>
      <c r="Q71" s="6">
        <f>SUM(
IFERROR(VLOOKUP(E71,MATERIAUX!$A$1:$D$27,4,FALSE)*F71,0),
IFERROR(VLOOKUP(G71,MATERIAUX!$A$1:$D$27,4,FALSE)*H71,0),
IFERROR(VLOOKUP(I71,MATERIAUX!$A$1:$D$27,4,FALSE)*J71,0),
IFERROR(VLOOKUP(K71,MATERIAUX!$A$1:$D$27,4,FALSE)*L71,0),
IFERROR(VLOOKUP(M71,MATERIAUX!$A$1:$D$27,4,FALSE)*N71,0),
IFERROR(VLOOKUP(O71,MATERIAUX!$A$1:$D$27,4,FALSE)*P71,0)
)</f>
        <v>7.833333333333333</v>
      </c>
      <c r="R71" s="3"/>
      <c r="S71" s="3"/>
    </row>
    <row r="72" spans="1:19" ht="18.75">
      <c r="A72" s="5" t="s">
        <v>106</v>
      </c>
      <c r="B72" s="6">
        <v>80</v>
      </c>
      <c r="C72" s="6">
        <f t="shared" si="2"/>
        <v>58.416666666666671</v>
      </c>
      <c r="D72" s="15">
        <f t="shared" si="3"/>
        <v>2.7065637065637072</v>
      </c>
      <c r="E72" s="5" t="s">
        <v>30</v>
      </c>
      <c r="F72" s="5">
        <v>10</v>
      </c>
      <c r="G72" s="5" t="s">
        <v>78</v>
      </c>
      <c r="H72" s="5">
        <v>3</v>
      </c>
      <c r="I72" s="5" t="s">
        <v>32</v>
      </c>
      <c r="J72" s="5">
        <v>2</v>
      </c>
      <c r="K72" s="5" t="s">
        <v>107</v>
      </c>
      <c r="L72" s="5">
        <v>1</v>
      </c>
      <c r="M72" s="5"/>
      <c r="N72" s="5"/>
      <c r="O72" s="5"/>
      <c r="P72" s="5"/>
      <c r="Q72" s="6">
        <f>SUM(
IFERROR(VLOOKUP(E72,MATERIAUX!$A$1:$D$27,4,FALSE)*F72,0),
IFERROR(VLOOKUP(G72,MATERIAUX!$A$1:$D$27,4,FALSE)*H72,0),
IFERROR(VLOOKUP(I72,MATERIAUX!$A$1:$D$27,4,FALSE)*J72,0),
IFERROR(VLOOKUP(K72,MATERIAUX!$A$1:$D$27,4,FALSE)*L72,0),
IFERROR(VLOOKUP(M72,MATERIAUX!$A$1:$D$27,4,FALSE)*N72,0),
IFERROR(VLOOKUP(O72,MATERIAUX!$A$1:$D$27,4,FALSE)*P72,0)
)</f>
        <v>21.583333333333332</v>
      </c>
      <c r="R72" s="3"/>
      <c r="S72" s="3"/>
    </row>
    <row r="73" spans="1:19" ht="18.75">
      <c r="A73" s="5" t="s">
        <v>108</v>
      </c>
      <c r="B73" s="6">
        <v>80</v>
      </c>
      <c r="C73" s="6">
        <f t="shared" si="2"/>
        <v>58</v>
      </c>
      <c r="D73" s="15">
        <f t="shared" si="3"/>
        <v>2.6363636363636362</v>
      </c>
      <c r="E73" s="5" t="s">
        <v>32</v>
      </c>
      <c r="F73" s="5">
        <v>3</v>
      </c>
      <c r="G73" s="5" t="s">
        <v>78</v>
      </c>
      <c r="H73" s="5">
        <v>4</v>
      </c>
      <c r="I73" s="5" t="s">
        <v>107</v>
      </c>
      <c r="J73" s="5">
        <v>1</v>
      </c>
      <c r="K73" s="5"/>
      <c r="L73" s="5"/>
      <c r="M73" s="5"/>
      <c r="N73" s="5"/>
      <c r="O73" s="5"/>
      <c r="P73" s="5"/>
      <c r="Q73" s="6">
        <f>SUM(
IFERROR(VLOOKUP(E73,MATERIAUX!$A$1:$D$27,4,FALSE)*F73,0),
IFERROR(VLOOKUP(G73,MATERIAUX!$A$1:$D$27,4,FALSE)*H73,0),
IFERROR(VLOOKUP(I73,MATERIAUX!$A$1:$D$27,4,FALSE)*J73,0),
IFERROR(VLOOKUP(K73,MATERIAUX!$A$1:$D$27,4,FALSE)*L73,0),
IFERROR(VLOOKUP(M73,MATERIAUX!$A$1:$D$27,4,FALSE)*N73,0),
IFERROR(VLOOKUP(O73,MATERIAUX!$A$1:$D$27,4,FALSE)*P73,0)
)</f>
        <v>22</v>
      </c>
      <c r="R73" s="3"/>
      <c r="S73" s="3"/>
    </row>
    <row r="74" spans="1:19" ht="18.75">
      <c r="A74" s="5" t="s">
        <v>109</v>
      </c>
      <c r="B74" s="6">
        <v>80</v>
      </c>
      <c r="C74" s="6">
        <f t="shared" si="2"/>
        <v>65.416666666666671</v>
      </c>
      <c r="D74" s="15">
        <f t="shared" si="3"/>
        <v>4.4857142857142867</v>
      </c>
      <c r="E74" s="5" t="s">
        <v>30</v>
      </c>
      <c r="F74" s="5">
        <v>10</v>
      </c>
      <c r="G74" s="5" t="s">
        <v>78</v>
      </c>
      <c r="H74" s="5">
        <v>3</v>
      </c>
      <c r="I74" s="5" t="s">
        <v>32</v>
      </c>
      <c r="J74" s="5">
        <v>2</v>
      </c>
      <c r="K74" s="5" t="s">
        <v>101</v>
      </c>
      <c r="L74" s="5">
        <v>1</v>
      </c>
      <c r="M74" s="5"/>
      <c r="N74" s="5"/>
      <c r="O74" s="5"/>
      <c r="P74" s="5"/>
      <c r="Q74" s="6">
        <f>SUM(
IFERROR(VLOOKUP(E74,MATERIAUX!$A$1:$D$27,4,FALSE)*F74,0),
IFERROR(VLOOKUP(G74,MATERIAUX!$A$1:$D$27,4,FALSE)*H74,0),
IFERROR(VLOOKUP(I74,MATERIAUX!$A$1:$D$27,4,FALSE)*J74,0),
IFERROR(VLOOKUP(K74,MATERIAUX!$A$1:$D$27,4,FALSE)*L74,0),
IFERROR(VLOOKUP(M74,MATERIAUX!$A$1:$D$27,4,FALSE)*N74,0),
IFERROR(VLOOKUP(O74,MATERIAUX!$A$1:$D$27,4,FALSE)*P74,0)
)</f>
        <v>14.583333333333332</v>
      </c>
      <c r="R74" s="3"/>
      <c r="S74" s="3"/>
    </row>
    <row r="75" spans="1:19" ht="18.75">
      <c r="A75" s="5" t="s">
        <v>110</v>
      </c>
      <c r="B75" s="6">
        <v>90</v>
      </c>
      <c r="C75" s="6">
        <f t="shared" si="2"/>
        <v>60</v>
      </c>
      <c r="D75" s="15">
        <f t="shared" si="3"/>
        <v>2</v>
      </c>
      <c r="E75" s="5" t="s">
        <v>32</v>
      </c>
      <c r="F75" s="5">
        <v>3</v>
      </c>
      <c r="G75" s="5" t="s">
        <v>78</v>
      </c>
      <c r="H75" s="5">
        <v>4</v>
      </c>
      <c r="I75" s="5" t="s">
        <v>111</v>
      </c>
      <c r="J75" s="5">
        <v>2</v>
      </c>
      <c r="K75" s="5" t="s">
        <v>107</v>
      </c>
      <c r="L75" s="5">
        <v>1</v>
      </c>
      <c r="M75" s="5" t="s">
        <v>101</v>
      </c>
      <c r="N75" s="5">
        <v>2</v>
      </c>
      <c r="O75" s="5"/>
      <c r="P75" s="5"/>
      <c r="Q75" s="6">
        <f>SUM(
IFERROR(VLOOKUP(E75,MATERIAUX!$A$1:$D$27,4,FALSE)*F75,0),
IFERROR(VLOOKUP(G75,MATERIAUX!$A$1:$D$27,4,FALSE)*H75,0),
IFERROR(VLOOKUP(I75,MATERIAUX!$A$1:$D$27,4,FALSE)*J75,0),
IFERROR(VLOOKUP(K75,MATERIAUX!$A$1:$D$27,4,FALSE)*L75,0),
IFERROR(VLOOKUP(M75,MATERIAUX!$A$1:$D$27,4,FALSE)*N75,0),
IFERROR(VLOOKUP(O75,MATERIAUX!$A$1:$D$27,4,FALSE)*P75,0)
)</f>
        <v>30</v>
      </c>
      <c r="R75" s="3"/>
      <c r="S75" s="3"/>
    </row>
    <row r="76" spans="1:19" ht="18.75">
      <c r="A76" s="5" t="s">
        <v>112</v>
      </c>
      <c r="B76" s="6">
        <v>90</v>
      </c>
      <c r="C76" s="6">
        <f t="shared" si="2"/>
        <v>67.416666666666671</v>
      </c>
      <c r="D76" s="15">
        <f t="shared" si="3"/>
        <v>2.9852398523985242</v>
      </c>
      <c r="E76" s="5" t="s">
        <v>30</v>
      </c>
      <c r="F76" s="5">
        <v>10</v>
      </c>
      <c r="G76" s="5" t="s">
        <v>78</v>
      </c>
      <c r="H76" s="5">
        <v>3</v>
      </c>
      <c r="I76" s="5" t="s">
        <v>32</v>
      </c>
      <c r="J76" s="5">
        <v>2</v>
      </c>
      <c r="K76" s="5" t="s">
        <v>111</v>
      </c>
      <c r="L76" s="5">
        <v>2</v>
      </c>
      <c r="M76" s="5" t="s">
        <v>101</v>
      </c>
      <c r="N76" s="5">
        <v>3</v>
      </c>
      <c r="O76" s="5"/>
      <c r="P76" s="5"/>
      <c r="Q76" s="6">
        <f>SUM(
IFERROR(VLOOKUP(E76,MATERIAUX!$A$1:$D$27,4,FALSE)*F76,0),
IFERROR(VLOOKUP(G76,MATERIAUX!$A$1:$D$27,4,FALSE)*H76,0),
IFERROR(VLOOKUP(I76,MATERIAUX!$A$1:$D$27,4,FALSE)*J76,0),
IFERROR(VLOOKUP(K76,MATERIAUX!$A$1:$D$27,4,FALSE)*L76,0),
IFERROR(VLOOKUP(M76,MATERIAUX!$A$1:$D$27,4,FALSE)*N76,0),
IFERROR(VLOOKUP(O76,MATERIAUX!$A$1:$D$27,4,FALSE)*P76,0)
)</f>
        <v>22.583333333333332</v>
      </c>
      <c r="R76" s="3"/>
      <c r="S76" s="3"/>
    </row>
    <row r="77" spans="1:19" ht="18.75">
      <c r="A77" s="5" t="s">
        <v>113</v>
      </c>
      <c r="B77" s="6">
        <v>90</v>
      </c>
      <c r="C77" s="6">
        <f t="shared" si="2"/>
        <v>70.416666666666671</v>
      </c>
      <c r="D77" s="15">
        <f t="shared" si="3"/>
        <v>3.5957446808510642</v>
      </c>
      <c r="E77" s="5" t="s">
        <v>30</v>
      </c>
      <c r="F77" s="5">
        <v>10</v>
      </c>
      <c r="G77" s="5" t="s">
        <v>32</v>
      </c>
      <c r="H77" s="5">
        <v>2</v>
      </c>
      <c r="I77" s="5" t="s">
        <v>78</v>
      </c>
      <c r="J77" s="5">
        <v>3</v>
      </c>
      <c r="K77" s="5" t="s">
        <v>111</v>
      </c>
      <c r="L77" s="5">
        <v>2</v>
      </c>
      <c r="M77" s="5" t="s">
        <v>101</v>
      </c>
      <c r="N77" s="5">
        <v>2</v>
      </c>
      <c r="O77" s="5"/>
      <c r="P77" s="5"/>
      <c r="Q77" s="6">
        <f>SUM(
IFERROR(VLOOKUP(E77,MATERIAUX!$A$1:$D$27,4,FALSE)*F77,0),
IFERROR(VLOOKUP(G77,MATERIAUX!$A$1:$D$27,4,FALSE)*H77,0),
IFERROR(VLOOKUP(I77,MATERIAUX!$A$1:$D$27,4,FALSE)*J77,0),
IFERROR(VLOOKUP(K77,MATERIAUX!$A$1:$D$27,4,FALSE)*L77,0),
IFERROR(VLOOKUP(M77,MATERIAUX!$A$1:$D$27,4,FALSE)*N77,0),
IFERROR(VLOOKUP(O77,MATERIAUX!$A$1:$D$27,4,FALSE)*P77,0)
)</f>
        <v>19.583333333333332</v>
      </c>
      <c r="R77" s="3"/>
      <c r="S77" s="3"/>
    </row>
    <row r="78" spans="1:19" ht="18.75">
      <c r="A78" s="5" t="s">
        <v>114</v>
      </c>
      <c r="B78" s="6">
        <v>20</v>
      </c>
      <c r="C78" s="6">
        <f t="shared" si="2"/>
        <v>12.166666666666668</v>
      </c>
      <c r="D78" s="15">
        <f t="shared" si="3"/>
        <v>1.5531914893617023</v>
      </c>
      <c r="E78" s="5" t="s">
        <v>30</v>
      </c>
      <c r="F78" s="5">
        <v>10</v>
      </c>
      <c r="G78" s="5" t="s">
        <v>78</v>
      </c>
      <c r="H78" s="5">
        <v>2</v>
      </c>
      <c r="I78" s="5" t="s">
        <v>101</v>
      </c>
      <c r="J78" s="5">
        <v>1</v>
      </c>
      <c r="K78" s="5"/>
      <c r="L78" s="5"/>
      <c r="M78" s="5"/>
      <c r="N78" s="5"/>
      <c r="O78" s="5"/>
      <c r="P78" s="5"/>
      <c r="Q78" s="6">
        <f>SUM(
IFERROR(VLOOKUP(E78,MATERIAUX!$A$1:$D$27,4,FALSE)*F78,0),
IFERROR(VLOOKUP(G78,MATERIAUX!$A$1:$D$27,4,FALSE)*H78,0),
IFERROR(VLOOKUP(I78,MATERIAUX!$A$1:$D$27,4,FALSE)*J78,0),
IFERROR(VLOOKUP(K78,MATERIAUX!$A$1:$D$27,4,FALSE)*L78,0),
IFERROR(VLOOKUP(M78,MATERIAUX!$A$1:$D$27,4,FALSE)*N78,0),
IFERROR(VLOOKUP(O78,MATERIAUX!$A$1:$D$27,4,FALSE)*P78,0)
)</f>
        <v>7.833333333333333</v>
      </c>
      <c r="R78" s="3"/>
      <c r="S78" s="3"/>
    </row>
    <row r="79" spans="1:19" ht="18.75">
      <c r="A79" s="5" t="s">
        <v>115</v>
      </c>
      <c r="B79" s="6">
        <v>40</v>
      </c>
      <c r="C79" s="6">
        <f t="shared" si="2"/>
        <v>21.75</v>
      </c>
      <c r="D79" s="15">
        <f t="shared" si="3"/>
        <v>1.1917808219178083</v>
      </c>
      <c r="E79" s="5" t="s">
        <v>32</v>
      </c>
      <c r="F79" s="5">
        <v>2</v>
      </c>
      <c r="G79" s="5" t="s">
        <v>78</v>
      </c>
      <c r="H79" s="5">
        <v>3</v>
      </c>
      <c r="I79" s="5" t="s">
        <v>42</v>
      </c>
      <c r="J79" s="5">
        <v>1</v>
      </c>
      <c r="K79" s="5"/>
      <c r="L79" s="5"/>
      <c r="M79" s="5"/>
      <c r="N79" s="5"/>
      <c r="O79" s="5"/>
      <c r="P79" s="5"/>
      <c r="Q79" s="6">
        <f>SUM(
IFERROR(VLOOKUP(E79,MATERIAUX!$A$1:$D$27,4,FALSE)*F79,0),
IFERROR(VLOOKUP(G79,MATERIAUX!$A$1:$D$27,4,FALSE)*H79,0),
IFERROR(VLOOKUP(I79,MATERIAUX!$A$1:$D$27,4,FALSE)*J79,0),
IFERROR(VLOOKUP(K79,MATERIAUX!$A$1:$D$27,4,FALSE)*L79,0),
IFERROR(VLOOKUP(M79,MATERIAUX!$A$1:$D$27,4,FALSE)*N79,0),
IFERROR(VLOOKUP(O79,MATERIAUX!$A$1:$D$27,4,FALSE)*P79,0)
)</f>
        <v>18.25</v>
      </c>
      <c r="R79" s="3"/>
      <c r="S79" s="3"/>
    </row>
    <row r="80" spans="1:19" ht="18.75">
      <c r="A80" s="5" t="s">
        <v>116</v>
      </c>
      <c r="B80" s="6">
        <v>20</v>
      </c>
      <c r="C80" s="6">
        <f t="shared" si="2"/>
        <v>16.666666666666668</v>
      </c>
      <c r="D80" s="15">
        <f t="shared" si="3"/>
        <v>5.0000000000000009</v>
      </c>
      <c r="E80" s="5" t="s">
        <v>30</v>
      </c>
      <c r="F80" s="5">
        <v>10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6">
        <f>SUM(
IFERROR(VLOOKUP(E80,MATERIAUX!$A$1:$D$27,4,FALSE)*F80,0),
IFERROR(VLOOKUP(G80,MATERIAUX!$A$1:$D$27,4,FALSE)*H80,0),
IFERROR(VLOOKUP(I80,MATERIAUX!$A$1:$D$27,4,FALSE)*J80,0),
IFERROR(VLOOKUP(K80,MATERIAUX!$A$1:$D$27,4,FALSE)*L80,0),
IFERROR(VLOOKUP(M80,MATERIAUX!$A$1:$D$27,4,FALSE)*N80,0),
IFERROR(VLOOKUP(O80,MATERIAUX!$A$1:$D$27,4,FALSE)*P80,0)
)</f>
        <v>3.333333333333333</v>
      </c>
      <c r="R80" s="3"/>
      <c r="S80" s="3"/>
    </row>
    <row r="81" spans="1:19" ht="18.75">
      <c r="A81" s="5" t="s">
        <v>117</v>
      </c>
      <c r="B81" s="6">
        <v>20</v>
      </c>
      <c r="C81" s="6">
        <f t="shared" si="2"/>
        <v>18.333333333333332</v>
      </c>
      <c r="D81" s="15">
        <f t="shared" si="3"/>
        <v>11</v>
      </c>
      <c r="E81" s="5" t="s">
        <v>30</v>
      </c>
      <c r="F81" s="5">
        <v>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6">
        <f>SUM(
IFERROR(VLOOKUP(E81,MATERIAUX!$A$1:$D$27,4,FALSE)*F81,0),
IFERROR(VLOOKUP(G81,MATERIAUX!$A$1:$D$27,4,FALSE)*H81,0),
IFERROR(VLOOKUP(I81,MATERIAUX!$A$1:$D$27,4,FALSE)*J81,0),
IFERROR(VLOOKUP(K81,MATERIAUX!$A$1:$D$27,4,FALSE)*L81,0),
IFERROR(VLOOKUP(M81,MATERIAUX!$A$1:$D$27,4,FALSE)*N81,0),
IFERROR(VLOOKUP(O81,MATERIAUX!$A$1:$D$27,4,FALSE)*P81,0)
)</f>
        <v>1.6666666666666665</v>
      </c>
      <c r="R81" s="3"/>
      <c r="S81" s="3"/>
    </row>
    <row r="82" spans="1:19" ht="18.75">
      <c r="A82" s="5" t="s">
        <v>118</v>
      </c>
      <c r="B82" s="6">
        <v>20</v>
      </c>
      <c r="C82" s="6">
        <f t="shared" si="2"/>
        <v>13.666666666666668</v>
      </c>
      <c r="D82" s="15">
        <f t="shared" si="3"/>
        <v>2.1578947368421058</v>
      </c>
      <c r="E82" s="5" t="s">
        <v>30</v>
      </c>
      <c r="F82" s="5">
        <v>10</v>
      </c>
      <c r="G82" s="5" t="s">
        <v>101</v>
      </c>
      <c r="H82" s="5">
        <v>1</v>
      </c>
      <c r="I82" s="5"/>
      <c r="J82" s="5"/>
      <c r="K82" s="5"/>
      <c r="L82" s="5"/>
      <c r="M82" s="5"/>
      <c r="N82" s="5"/>
      <c r="O82" s="5"/>
      <c r="P82" s="5"/>
      <c r="Q82" s="6">
        <f>SUM(
IFERROR(VLOOKUP(E82,MATERIAUX!$A$1:$D$27,4,FALSE)*F82,0),
IFERROR(VLOOKUP(G82,MATERIAUX!$A$1:$D$27,4,FALSE)*H82,0),
IFERROR(VLOOKUP(I82,MATERIAUX!$A$1:$D$27,4,FALSE)*J82,0),
IFERROR(VLOOKUP(K82,MATERIAUX!$A$1:$D$27,4,FALSE)*L82,0),
IFERROR(VLOOKUP(M82,MATERIAUX!$A$1:$D$27,4,FALSE)*N82,0),
IFERROR(VLOOKUP(O82,MATERIAUX!$A$1:$D$27,4,FALSE)*P82,0)
)</f>
        <v>6.333333333333333</v>
      </c>
      <c r="R82" s="3"/>
      <c r="S82" s="3"/>
    </row>
    <row r="83" spans="1:19" ht="18.75">
      <c r="A83" s="5" t="s">
        <v>119</v>
      </c>
      <c r="B83" s="6">
        <v>20</v>
      </c>
      <c r="C83" s="6">
        <f t="shared" si="2"/>
        <v>16.666666666666668</v>
      </c>
      <c r="D83" s="15">
        <f t="shared" si="3"/>
        <v>5.0000000000000009</v>
      </c>
      <c r="E83" s="5" t="s">
        <v>30</v>
      </c>
      <c r="F83" s="5">
        <v>10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6">
        <f>SUM(
IFERROR(VLOOKUP(E83,MATERIAUX!$A$1:$D$27,4,FALSE)*F83,0),
IFERROR(VLOOKUP(G83,MATERIAUX!$A$1:$D$27,4,FALSE)*H83,0),
IFERROR(VLOOKUP(I83,MATERIAUX!$A$1:$D$27,4,FALSE)*J83,0),
IFERROR(VLOOKUP(K83,MATERIAUX!$A$1:$D$27,4,FALSE)*L83,0),
IFERROR(VLOOKUP(M83,MATERIAUX!$A$1:$D$27,4,FALSE)*N83,0),
IFERROR(VLOOKUP(O83,MATERIAUX!$A$1:$D$27,4,FALSE)*P83,0)
)</f>
        <v>3.333333333333333</v>
      </c>
      <c r="R83" s="3"/>
      <c r="S83" s="3"/>
    </row>
    <row r="84" spans="1:19" ht="18.75">
      <c r="A84" s="5" t="s">
        <v>120</v>
      </c>
      <c r="B84" s="6">
        <v>40</v>
      </c>
      <c r="C84" s="6">
        <f t="shared" si="2"/>
        <v>27.583333333333336</v>
      </c>
      <c r="D84" s="15">
        <f t="shared" si="3"/>
        <v>2.2214765100671143</v>
      </c>
      <c r="E84" s="5" t="s">
        <v>30</v>
      </c>
      <c r="F84" s="5">
        <v>5</v>
      </c>
      <c r="G84" s="5" t="s">
        <v>78</v>
      </c>
      <c r="H84" s="5">
        <v>1</v>
      </c>
      <c r="I84" s="5" t="s">
        <v>42</v>
      </c>
      <c r="J84" s="5">
        <v>1</v>
      </c>
      <c r="K84" s="5"/>
      <c r="L84" s="5"/>
      <c r="M84" s="5"/>
      <c r="N84" s="5"/>
      <c r="O84" s="5"/>
      <c r="P84" s="5"/>
      <c r="Q84" s="6">
        <f>SUM(
IFERROR(VLOOKUP(E84,MATERIAUX!$A$1:$D$27,4,FALSE)*F84,0),
IFERROR(VLOOKUP(G84,MATERIAUX!$A$1:$D$27,4,FALSE)*H84,0),
IFERROR(VLOOKUP(I84,MATERIAUX!$A$1:$D$27,4,FALSE)*J84,0),
IFERROR(VLOOKUP(K84,MATERIAUX!$A$1:$D$27,4,FALSE)*L84,0),
IFERROR(VLOOKUP(M84,MATERIAUX!$A$1:$D$27,4,FALSE)*N84,0),
IFERROR(VLOOKUP(O84,MATERIAUX!$A$1:$D$27,4,FALSE)*P84,0)
)</f>
        <v>12.416666666666666</v>
      </c>
      <c r="R84" s="3"/>
      <c r="S84" s="3"/>
    </row>
    <row r="85" spans="1:19" ht="18.75">
      <c r="A85" s="5" t="s">
        <v>120</v>
      </c>
      <c r="B85" s="6">
        <v>100</v>
      </c>
      <c r="C85" s="6">
        <f t="shared" si="2"/>
        <v>47.583333333333336</v>
      </c>
      <c r="D85" s="15">
        <f t="shared" si="3"/>
        <v>0.90779014308426087</v>
      </c>
      <c r="E85" s="5" t="s">
        <v>30</v>
      </c>
      <c r="F85" s="5">
        <v>5</v>
      </c>
      <c r="G85" s="5" t="s">
        <v>78</v>
      </c>
      <c r="H85" s="5">
        <v>1</v>
      </c>
      <c r="I85" s="5" t="s">
        <v>97</v>
      </c>
      <c r="J85" s="5">
        <v>1</v>
      </c>
      <c r="K85" s="5"/>
      <c r="L85" s="5"/>
      <c r="M85" s="5"/>
      <c r="N85" s="5"/>
      <c r="O85" s="5"/>
      <c r="P85" s="5"/>
      <c r="Q85" s="6">
        <f>SUM(
IFERROR(VLOOKUP(E85,MATERIAUX!$A$1:$D$27,4,FALSE)*F85,0),
IFERROR(VLOOKUP(G85,MATERIAUX!$A$1:$D$27,4,FALSE)*H85,0),
IFERROR(VLOOKUP(I85,MATERIAUX!$A$1:$D$27,4,FALSE)*J85,0),
IFERROR(VLOOKUP(K85,MATERIAUX!$A$1:$D$27,4,FALSE)*L85,0),
IFERROR(VLOOKUP(M85,MATERIAUX!$A$1:$D$27,4,FALSE)*N85,0),
IFERROR(VLOOKUP(O85,MATERIAUX!$A$1:$D$27,4,FALSE)*P85,0)
)</f>
        <v>52.416666666666664</v>
      </c>
      <c r="R85" s="3"/>
      <c r="S85" s="3"/>
    </row>
    <row r="86" spans="1:19" ht="18.75">
      <c r="A86" s="5" t="s">
        <v>121</v>
      </c>
      <c r="B86" s="6">
        <v>50</v>
      </c>
      <c r="C86" s="6">
        <f t="shared" si="2"/>
        <v>43.833333333333336</v>
      </c>
      <c r="D86" s="15">
        <f t="shared" si="3"/>
        <v>7.1081081081081088</v>
      </c>
      <c r="E86" s="5" t="s">
        <v>30</v>
      </c>
      <c r="F86" s="5">
        <v>5</v>
      </c>
      <c r="G86" s="5" t="s">
        <v>78</v>
      </c>
      <c r="H86" s="5">
        <v>2</v>
      </c>
      <c r="I86" s="5" t="s">
        <v>122</v>
      </c>
      <c r="J86" s="5">
        <v>1</v>
      </c>
      <c r="K86" s="5"/>
      <c r="L86" s="5"/>
      <c r="M86" s="5"/>
      <c r="N86" s="5"/>
      <c r="O86" s="5"/>
      <c r="P86" s="5"/>
      <c r="Q86" s="6">
        <f>SUM(
IFERROR(VLOOKUP(E86,MATERIAUX!$A$1:$D$27,4,FALSE)*F86,0),
IFERROR(VLOOKUP(G86,MATERIAUX!$A$1:$D$27,4,FALSE)*H86,0),
IFERROR(VLOOKUP(I86,MATERIAUX!$A$1:$D$27,4,FALSE)*J86,0),
IFERROR(VLOOKUP(K86,MATERIAUX!$A$1:$D$27,4,FALSE)*L86,0),
IFERROR(VLOOKUP(M86,MATERIAUX!$A$1:$D$27,4,FALSE)*N86,0),
IFERROR(VLOOKUP(O86,MATERIAUX!$A$1:$D$27,4,FALSE)*P86,0)
)</f>
        <v>6.1666666666666661</v>
      </c>
      <c r="R86" s="3"/>
      <c r="S86" s="3"/>
    </row>
    <row r="87" spans="1:19" ht="18.75">
      <c r="A87" s="5" t="s">
        <v>123</v>
      </c>
      <c r="B87" s="6">
        <v>80</v>
      </c>
      <c r="C87" s="6">
        <f t="shared" si="2"/>
        <v>67.333333333333329</v>
      </c>
      <c r="D87" s="15">
        <f t="shared" si="3"/>
        <v>5.3157894736842106</v>
      </c>
      <c r="E87" s="5" t="s">
        <v>30</v>
      </c>
      <c r="F87" s="5">
        <v>5</v>
      </c>
      <c r="G87" s="5" t="s">
        <v>78</v>
      </c>
      <c r="H87" s="5">
        <v>4</v>
      </c>
      <c r="I87" s="5" t="s">
        <v>111</v>
      </c>
      <c r="J87" s="5">
        <v>2</v>
      </c>
      <c r="K87" s="5" t="s">
        <v>101</v>
      </c>
      <c r="L87" s="5">
        <v>2</v>
      </c>
      <c r="M87" s="5"/>
      <c r="N87" s="5"/>
      <c r="O87" s="5"/>
      <c r="P87" s="5"/>
      <c r="Q87" s="6">
        <f>SUM(
IFERROR(VLOOKUP(E87,MATERIAUX!$A$1:$D$27,4,FALSE)*F87,0),
IFERROR(VLOOKUP(G87,MATERIAUX!$A$1:$D$27,4,FALSE)*H87,0),
IFERROR(VLOOKUP(I87,MATERIAUX!$A$1:$D$27,4,FALSE)*J87,0),
IFERROR(VLOOKUP(K87,MATERIAUX!$A$1:$D$27,4,FALSE)*L87,0),
IFERROR(VLOOKUP(M87,MATERIAUX!$A$1:$D$27,4,FALSE)*N87,0),
IFERROR(VLOOKUP(O87,MATERIAUX!$A$1:$D$27,4,FALSE)*P87,0)
)</f>
        <v>12.666666666666666</v>
      </c>
      <c r="R87" s="3"/>
      <c r="S87" s="3"/>
    </row>
    <row r="88" spans="1:19" ht="18.75">
      <c r="A88" s="5" t="s">
        <v>124</v>
      </c>
      <c r="B88" s="6">
        <v>80</v>
      </c>
      <c r="C88" s="6">
        <f t="shared" si="2"/>
        <v>60.333333333333336</v>
      </c>
      <c r="D88" s="15">
        <f t="shared" si="3"/>
        <v>3.0677966101694922</v>
      </c>
      <c r="E88" s="5" t="s">
        <v>30</v>
      </c>
      <c r="F88" s="5">
        <v>5</v>
      </c>
      <c r="G88" s="5" t="s">
        <v>78</v>
      </c>
      <c r="H88" s="5">
        <v>4</v>
      </c>
      <c r="I88" s="5" t="s">
        <v>111</v>
      </c>
      <c r="J88" s="5">
        <v>3</v>
      </c>
      <c r="K88" s="5" t="s">
        <v>101</v>
      </c>
      <c r="L88" s="5">
        <v>4</v>
      </c>
      <c r="M88" s="5"/>
      <c r="N88" s="5"/>
      <c r="O88" s="5"/>
      <c r="P88" s="5"/>
      <c r="Q88" s="6">
        <f>SUM(
IFERROR(VLOOKUP(E88,MATERIAUX!$A$1:$D$27,4,FALSE)*F88,0),
IFERROR(VLOOKUP(G88,MATERIAUX!$A$1:$D$27,4,FALSE)*H88,0),
IFERROR(VLOOKUP(I88,MATERIAUX!$A$1:$D$27,4,FALSE)*J88,0),
IFERROR(VLOOKUP(K88,MATERIAUX!$A$1:$D$27,4,FALSE)*L88,0),
IFERROR(VLOOKUP(M88,MATERIAUX!$A$1:$D$27,4,FALSE)*N88,0),
IFERROR(VLOOKUP(O88,MATERIAUX!$A$1:$D$27,4,FALSE)*P88,0)
)</f>
        <v>19.666666666666664</v>
      </c>
      <c r="R88" s="3"/>
      <c r="S88" s="3"/>
    </row>
    <row r="89" spans="1:19" ht="18.75">
      <c r="A89" s="5"/>
      <c r="B89" s="6"/>
      <c r="C89" s="6">
        <f t="shared" si="2"/>
        <v>0</v>
      </c>
      <c r="D89" s="15" t="e">
        <f t="shared" si="3"/>
        <v>#DIV/0!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6">
        <f>SUM(
IFERROR(VLOOKUP(E89,MATERIAUX!$A$1:$D$27,4,FALSE)*F89,0),
IFERROR(VLOOKUP(G89,MATERIAUX!$A$1:$D$27,4,FALSE)*H89,0),
IFERROR(VLOOKUP(I89,MATERIAUX!$A$1:$D$27,4,FALSE)*J89,0),
IFERROR(VLOOKUP(K89,MATERIAUX!$A$1:$D$27,4,FALSE)*L89,0),
IFERROR(VLOOKUP(M89,MATERIAUX!$A$1:$D$27,4,FALSE)*N89,0),
IFERROR(VLOOKUP(O89,MATERIAUX!$A$1:$D$27,4,FALSE)*P89,0)
)</f>
        <v>0</v>
      </c>
      <c r="R89" s="3"/>
      <c r="S89" s="3"/>
    </row>
    <row r="90" spans="1:19" ht="18.75">
      <c r="A90" s="5"/>
      <c r="B90" s="6"/>
      <c r="C90" s="6">
        <f t="shared" si="2"/>
        <v>0</v>
      </c>
      <c r="D90" s="15" t="e">
        <f t="shared" si="3"/>
        <v>#DIV/0!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>
        <f>SUM(
IFERROR(VLOOKUP(E90,MATERIAUX!$A$1:$D$27,4,FALSE)*F90,0),
IFERROR(VLOOKUP(G90,MATERIAUX!$A$1:$D$27,4,FALSE)*H90,0),
IFERROR(VLOOKUP(I90,MATERIAUX!$A$1:$D$27,4,FALSE)*J90,0),
IFERROR(VLOOKUP(K90,MATERIAUX!$A$1:$D$27,4,FALSE)*L90,0),
IFERROR(VLOOKUP(M90,MATERIAUX!$A$1:$D$27,4,FALSE)*N90,0),
IFERROR(VLOOKUP(O90,MATERIAUX!$A$1:$D$27,4,FALSE)*P90,0)
)</f>
        <v>0</v>
      </c>
      <c r="R90" s="3"/>
      <c r="S90" s="3"/>
    </row>
    <row r="91" spans="1:19" ht="18.75">
      <c r="A91" s="5"/>
      <c r="B91" s="6"/>
      <c r="C91" s="6">
        <f t="shared" si="2"/>
        <v>0</v>
      </c>
      <c r="D91" s="15" t="e">
        <f t="shared" si="3"/>
        <v>#DIV/0!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6">
        <f>SUM(
IFERROR(VLOOKUP(E91,MATERIAUX!$A$1:$D$27,4,FALSE)*F91,0),
IFERROR(VLOOKUP(G91,MATERIAUX!$A$1:$D$27,4,FALSE)*H91,0),
IFERROR(VLOOKUP(I91,MATERIAUX!$A$1:$D$27,4,FALSE)*J91,0),
IFERROR(VLOOKUP(K91,MATERIAUX!$A$1:$D$27,4,FALSE)*L91,0),
IFERROR(VLOOKUP(M91,MATERIAUX!$A$1:$D$27,4,FALSE)*N91,0),
IFERROR(VLOOKUP(O91,MATERIAUX!$A$1:$D$27,4,FALSE)*P91,0)
)</f>
        <v>0</v>
      </c>
      <c r="R91" s="3"/>
      <c r="S91" s="3"/>
    </row>
    <row r="92" spans="1:19" ht="18.75">
      <c r="A92" s="5"/>
      <c r="B92" s="6"/>
      <c r="C92" s="6">
        <f t="shared" si="2"/>
        <v>0</v>
      </c>
      <c r="D92" s="15" t="e">
        <f t="shared" si="3"/>
        <v>#DIV/0!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6">
        <f>SUM(
IFERROR(VLOOKUP(E92,MATERIAUX!$A$1:$D$27,4,FALSE)*F92,0),
IFERROR(VLOOKUP(G92,MATERIAUX!$A$1:$D$27,4,FALSE)*H92,0),
IFERROR(VLOOKUP(I92,MATERIAUX!$A$1:$D$27,4,FALSE)*J92,0),
IFERROR(VLOOKUP(K92,MATERIAUX!$A$1:$D$27,4,FALSE)*L92,0),
IFERROR(VLOOKUP(M92,MATERIAUX!$A$1:$D$27,4,FALSE)*N92,0),
IFERROR(VLOOKUP(O92,MATERIAUX!$A$1:$D$27,4,FALSE)*P92,0)
)</f>
        <v>0</v>
      </c>
      <c r="R92" s="3"/>
      <c r="S92" s="3"/>
    </row>
    <row r="93" spans="1:19" ht="18.75">
      <c r="A93" s="5"/>
      <c r="B93" s="6"/>
      <c r="C93" s="6">
        <f t="shared" si="2"/>
        <v>0</v>
      </c>
      <c r="D93" s="15" t="e">
        <f t="shared" si="3"/>
        <v>#DIV/0!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>
        <f>SUM(
IFERROR(VLOOKUP(E93,MATERIAUX!$A$1:$D$27,4,FALSE)*F93,0),
IFERROR(VLOOKUP(G93,MATERIAUX!$A$1:$D$27,4,FALSE)*H93,0),
IFERROR(VLOOKUP(I93,MATERIAUX!$A$1:$D$27,4,FALSE)*J93,0),
IFERROR(VLOOKUP(K93,MATERIAUX!$A$1:$D$27,4,FALSE)*L93,0),
IFERROR(VLOOKUP(M93,MATERIAUX!$A$1:$D$27,4,FALSE)*N93,0),
IFERROR(VLOOKUP(O93,MATERIAUX!$A$1:$D$27,4,FALSE)*P93,0)
)</f>
        <v>0</v>
      </c>
      <c r="R93" s="3"/>
      <c r="S93" s="3"/>
    </row>
    <row r="94" spans="1:19" ht="18.75">
      <c r="A94" s="5"/>
      <c r="B94" s="6"/>
      <c r="C94" s="6">
        <f t="shared" si="2"/>
        <v>0</v>
      </c>
      <c r="D94" s="15" t="e">
        <f t="shared" si="3"/>
        <v>#DIV/0!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6">
        <f>SUM(
IFERROR(VLOOKUP(E94,MATERIAUX!$A$1:$D$27,4,FALSE)*F94,0),
IFERROR(VLOOKUP(G94,MATERIAUX!$A$1:$D$27,4,FALSE)*H94,0),
IFERROR(VLOOKUP(I94,MATERIAUX!$A$1:$D$27,4,FALSE)*J94,0),
IFERROR(VLOOKUP(K94,MATERIAUX!$A$1:$D$27,4,FALSE)*L94,0),
IFERROR(VLOOKUP(M94,MATERIAUX!$A$1:$D$27,4,FALSE)*N94,0),
IFERROR(VLOOKUP(O94,MATERIAUX!$A$1:$D$27,4,FALSE)*P94,0)
)</f>
        <v>0</v>
      </c>
      <c r="R94" s="3"/>
      <c r="S94" s="3"/>
    </row>
    <row r="95" spans="1:19" ht="18.75">
      <c r="A95" s="5"/>
      <c r="B95" s="6"/>
      <c r="C95" s="6">
        <f t="shared" si="2"/>
        <v>0</v>
      </c>
      <c r="D95" s="15" t="e">
        <f t="shared" si="3"/>
        <v>#DIV/0!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>
        <f>SUM(
IFERROR(VLOOKUP(E95,MATERIAUX!$A$1:$D$27,4,FALSE)*F95,0),
IFERROR(VLOOKUP(G95,MATERIAUX!$A$1:$D$27,4,FALSE)*H95,0),
IFERROR(VLOOKUP(I95,MATERIAUX!$A$1:$D$27,4,FALSE)*J95,0),
IFERROR(VLOOKUP(K95,MATERIAUX!$A$1:$D$27,4,FALSE)*L95,0),
IFERROR(VLOOKUP(M95,MATERIAUX!$A$1:$D$27,4,FALSE)*N95,0),
IFERROR(VLOOKUP(O95,MATERIAUX!$A$1:$D$27,4,FALSE)*P95,0)
)</f>
        <v>0</v>
      </c>
      <c r="R95" s="3"/>
      <c r="S95" s="3"/>
    </row>
    <row r="96" spans="1:19" ht="18.75">
      <c r="A96" s="5"/>
      <c r="B96" s="6"/>
      <c r="C96" s="6">
        <f t="shared" si="2"/>
        <v>0</v>
      </c>
      <c r="D96" s="15" t="e">
        <f t="shared" si="3"/>
        <v>#DIV/0!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6">
        <f>SUM(
IFERROR(VLOOKUP(E96,MATERIAUX!$A$1:$D$27,4,FALSE)*F96,0),
IFERROR(VLOOKUP(G96,MATERIAUX!$A$1:$D$27,4,FALSE)*H96,0),
IFERROR(VLOOKUP(I96,MATERIAUX!$A$1:$D$27,4,FALSE)*J96,0),
IFERROR(VLOOKUP(K96,MATERIAUX!$A$1:$D$27,4,FALSE)*L96,0),
IFERROR(VLOOKUP(M96,MATERIAUX!$A$1:$D$27,4,FALSE)*N96,0),
IFERROR(VLOOKUP(O96,MATERIAUX!$A$1:$D$27,4,FALSE)*P96,0)
)</f>
        <v>0</v>
      </c>
      <c r="R96" s="3"/>
      <c r="S96" s="3"/>
    </row>
    <row r="97" spans="1:19" ht="18.75">
      <c r="A97" s="5"/>
      <c r="B97" s="6"/>
      <c r="C97" s="6">
        <f t="shared" si="2"/>
        <v>0</v>
      </c>
      <c r="D97" s="15" t="e">
        <f t="shared" si="3"/>
        <v>#DIV/0!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6">
        <f>SUM(
IFERROR(VLOOKUP(E97,MATERIAUX!$A$1:$D$27,4,FALSE)*F97,0),
IFERROR(VLOOKUP(G97,MATERIAUX!$A$1:$D$27,4,FALSE)*H97,0),
IFERROR(VLOOKUP(I97,MATERIAUX!$A$1:$D$27,4,FALSE)*J97,0),
IFERROR(VLOOKUP(K97,MATERIAUX!$A$1:$D$27,4,FALSE)*L97,0),
IFERROR(VLOOKUP(M97,MATERIAUX!$A$1:$D$27,4,FALSE)*N97,0),
IFERROR(VLOOKUP(O97,MATERIAUX!$A$1:$D$27,4,FALSE)*P97,0)
)</f>
        <v>0</v>
      </c>
      <c r="R97" s="3"/>
      <c r="S97" s="3"/>
    </row>
    <row r="98" spans="1:19" ht="18.75">
      <c r="A98" s="5"/>
      <c r="B98" s="6"/>
      <c r="C98" s="6">
        <f t="shared" si="2"/>
        <v>0</v>
      </c>
      <c r="D98" s="15" t="e">
        <f t="shared" si="3"/>
        <v>#DIV/0!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6">
        <f>SUM(
IFERROR(VLOOKUP(E98,MATERIAUX!$A$1:$D$27,4,FALSE)*F98,0),
IFERROR(VLOOKUP(G98,MATERIAUX!$A$1:$D$27,4,FALSE)*H98,0),
IFERROR(VLOOKUP(I98,MATERIAUX!$A$1:$D$27,4,FALSE)*J98,0),
IFERROR(VLOOKUP(K98,MATERIAUX!$A$1:$D$27,4,FALSE)*L98,0),
IFERROR(VLOOKUP(M98,MATERIAUX!$A$1:$D$27,4,FALSE)*N98,0),
IFERROR(VLOOKUP(O98,MATERIAUX!$A$1:$D$27,4,FALSE)*P98,0)
)</f>
        <v>0</v>
      </c>
      <c r="R98" s="3"/>
      <c r="S98" s="3"/>
    </row>
    <row r="99" spans="1:19" ht="18.75">
      <c r="A99" s="5"/>
      <c r="B99" s="6"/>
      <c r="C99" s="6">
        <f t="shared" si="2"/>
        <v>0</v>
      </c>
      <c r="D99" s="15" t="e">
        <f t="shared" si="3"/>
        <v>#DIV/0!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>
        <f>SUM(
IFERROR(VLOOKUP(E99,MATERIAUX!$A$1:$D$27,4,FALSE)*F99,0),
IFERROR(VLOOKUP(G99,MATERIAUX!$A$1:$D$27,4,FALSE)*H99,0),
IFERROR(VLOOKUP(I99,MATERIAUX!$A$1:$D$27,4,FALSE)*J99,0),
IFERROR(VLOOKUP(K99,MATERIAUX!$A$1:$D$27,4,FALSE)*L99,0),
IFERROR(VLOOKUP(M99,MATERIAUX!$A$1:$D$27,4,FALSE)*N99,0),
IFERROR(VLOOKUP(O99,MATERIAUX!$A$1:$D$27,4,FALSE)*P99,0)
)</f>
        <v>0</v>
      </c>
      <c r="R99" s="3"/>
      <c r="S99" s="3"/>
    </row>
    <row r="100" spans="1:19" ht="18.75">
      <c r="A100" s="5"/>
      <c r="B100" s="6"/>
      <c r="C100" s="6">
        <f t="shared" si="2"/>
        <v>0</v>
      </c>
      <c r="D100" s="15" t="e">
        <f t="shared" si="3"/>
        <v>#DIV/0!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>
        <f>SUM(
IFERROR(VLOOKUP(E100,MATERIAUX!$A$1:$D$27,4,FALSE)*F100,0),
IFERROR(VLOOKUP(G100,MATERIAUX!$A$1:$D$27,4,FALSE)*H100,0),
IFERROR(VLOOKUP(I100,MATERIAUX!$A$1:$D$27,4,FALSE)*J100,0),
IFERROR(VLOOKUP(K100,MATERIAUX!$A$1:$D$27,4,FALSE)*L100,0),
IFERROR(VLOOKUP(M100,MATERIAUX!$A$1:$D$27,4,FALSE)*N100,0),
IFERROR(VLOOKUP(O100,MATERIAUX!$A$1:$D$27,4,FALSE)*P100,0)
)</f>
        <v>0</v>
      </c>
      <c r="R100" s="3"/>
      <c r="S100" s="3"/>
    </row>
    <row r="101" spans="1:19" ht="18.75">
      <c r="A101" s="5"/>
      <c r="B101" s="6"/>
      <c r="C101" s="6">
        <f t="shared" si="2"/>
        <v>0</v>
      </c>
      <c r="D101" s="15" t="e">
        <f t="shared" si="3"/>
        <v>#DIV/0!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>
        <f>SUM(
IFERROR(VLOOKUP(E101,MATERIAUX!$A$1:$D$27,4,FALSE)*F101,0),
IFERROR(VLOOKUP(G101,MATERIAUX!$A$1:$D$27,4,FALSE)*H101,0),
IFERROR(VLOOKUP(I101,MATERIAUX!$A$1:$D$27,4,FALSE)*J101,0),
IFERROR(VLOOKUP(K101,MATERIAUX!$A$1:$D$27,4,FALSE)*L101,0),
IFERROR(VLOOKUP(M101,MATERIAUX!$A$1:$D$27,4,FALSE)*N101,0),
IFERROR(VLOOKUP(O101,MATERIAUX!$A$1:$D$27,4,FALSE)*P101,0)
)</f>
        <v>0</v>
      </c>
      <c r="R101" s="3"/>
      <c r="S101" s="3"/>
    </row>
    <row r="102" spans="1:19" ht="18.75">
      <c r="A102" s="5"/>
      <c r="B102" s="6"/>
      <c r="C102" s="6">
        <f t="shared" si="2"/>
        <v>0</v>
      </c>
      <c r="D102" s="15" t="e">
        <f t="shared" si="3"/>
        <v>#DIV/0!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>
        <f>SUM(
IFERROR(VLOOKUP(E102,MATERIAUX!$A$1:$D$27,4,FALSE)*F102,0),
IFERROR(VLOOKUP(G102,MATERIAUX!$A$1:$D$27,4,FALSE)*H102,0),
IFERROR(VLOOKUP(I102,MATERIAUX!$A$1:$D$27,4,FALSE)*J102,0),
IFERROR(VLOOKUP(K102,MATERIAUX!$A$1:$D$27,4,FALSE)*L102,0),
IFERROR(VLOOKUP(M102,MATERIAUX!$A$1:$D$27,4,FALSE)*N102,0),
IFERROR(VLOOKUP(O102,MATERIAUX!$A$1:$D$27,4,FALSE)*P102,0)
)</f>
        <v>0</v>
      </c>
      <c r="R102" s="3"/>
      <c r="S102" s="3"/>
    </row>
    <row r="103" spans="1:19" ht="18.75">
      <c r="A103" s="5"/>
      <c r="B103" s="6"/>
      <c r="C103" s="6">
        <f t="shared" si="2"/>
        <v>0</v>
      </c>
      <c r="D103" s="15" t="e">
        <f t="shared" si="3"/>
        <v>#DIV/0!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>
        <f>SUM(
IFERROR(VLOOKUP(E103,MATERIAUX!$A$1:$D$27,4,FALSE)*F103,0),
IFERROR(VLOOKUP(G103,MATERIAUX!$A$1:$D$27,4,FALSE)*H103,0),
IFERROR(VLOOKUP(I103,MATERIAUX!$A$1:$D$27,4,FALSE)*J103,0),
IFERROR(VLOOKUP(K103,MATERIAUX!$A$1:$D$27,4,FALSE)*L103,0),
IFERROR(VLOOKUP(M103,MATERIAUX!$A$1:$D$27,4,FALSE)*N103,0),
IFERROR(VLOOKUP(O103,MATERIAUX!$A$1:$D$27,4,FALSE)*P103,0)
)</f>
        <v>0</v>
      </c>
      <c r="R103" s="3"/>
      <c r="S103" s="3"/>
    </row>
    <row r="104" spans="1:19" ht="18.75">
      <c r="A104" s="5"/>
      <c r="B104" s="6"/>
      <c r="C104" s="6">
        <f t="shared" si="2"/>
        <v>0</v>
      </c>
      <c r="D104" s="15" t="e">
        <f t="shared" si="3"/>
        <v>#DIV/0!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>
        <f>SUM(
IFERROR(VLOOKUP(E104,MATERIAUX!$A$1:$D$27,4,FALSE)*F104,0),
IFERROR(VLOOKUP(G104,MATERIAUX!$A$1:$D$27,4,FALSE)*H104,0),
IFERROR(VLOOKUP(I104,MATERIAUX!$A$1:$D$27,4,FALSE)*J104,0),
IFERROR(VLOOKUP(K104,MATERIAUX!$A$1:$D$27,4,FALSE)*L104,0),
IFERROR(VLOOKUP(M104,MATERIAUX!$A$1:$D$27,4,FALSE)*N104,0),
IFERROR(VLOOKUP(O104,MATERIAUX!$A$1:$D$27,4,FALSE)*P104,0)
)</f>
        <v>0</v>
      </c>
      <c r="R104" s="3"/>
      <c r="S104" s="3"/>
    </row>
    <row r="105" spans="1:19" ht="18.75">
      <c r="A105" s="5"/>
      <c r="B105" s="6"/>
      <c r="C105" s="6">
        <f t="shared" si="2"/>
        <v>0</v>
      </c>
      <c r="D105" s="15" t="e">
        <f t="shared" si="3"/>
        <v>#DIV/0!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>
        <f>SUM(
IFERROR(VLOOKUP(E105,MATERIAUX!$A$1:$D$27,4,FALSE)*F105,0),
IFERROR(VLOOKUP(G105,MATERIAUX!$A$1:$D$27,4,FALSE)*H105,0),
IFERROR(VLOOKUP(I105,MATERIAUX!$A$1:$D$27,4,FALSE)*J105,0),
IFERROR(VLOOKUP(K105,MATERIAUX!$A$1:$D$27,4,FALSE)*L105,0),
IFERROR(VLOOKUP(M105,MATERIAUX!$A$1:$D$27,4,FALSE)*N105,0),
IFERROR(VLOOKUP(O105,MATERIAUX!$A$1:$D$27,4,FALSE)*P105,0)
)</f>
        <v>0</v>
      </c>
      <c r="R105" s="3"/>
      <c r="S105" s="3"/>
    </row>
    <row r="106" spans="1:19" ht="18.75">
      <c r="A106" s="5"/>
      <c r="B106" s="6"/>
      <c r="C106" s="6">
        <f t="shared" si="2"/>
        <v>0</v>
      </c>
      <c r="D106" s="15" t="e">
        <f t="shared" si="3"/>
        <v>#DIV/0!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>
        <f>SUM(
IFERROR(VLOOKUP(E106,MATERIAUX!$A$1:$D$27,4,FALSE)*F106,0),
IFERROR(VLOOKUP(G106,MATERIAUX!$A$1:$D$27,4,FALSE)*H106,0),
IFERROR(VLOOKUP(I106,MATERIAUX!$A$1:$D$27,4,FALSE)*J106,0),
IFERROR(VLOOKUP(K106,MATERIAUX!$A$1:$D$27,4,FALSE)*L106,0),
IFERROR(VLOOKUP(M106,MATERIAUX!$A$1:$D$27,4,FALSE)*N106,0),
IFERROR(VLOOKUP(O106,MATERIAUX!$A$1:$D$27,4,FALSE)*P106,0)
)</f>
        <v>0</v>
      </c>
      <c r="R106" s="3"/>
      <c r="S106" s="3"/>
    </row>
    <row r="107" spans="1:19" ht="18.75">
      <c r="A107" s="5"/>
      <c r="B107" s="6"/>
      <c r="C107" s="6">
        <f t="shared" si="2"/>
        <v>0</v>
      </c>
      <c r="D107" s="15" t="e">
        <f t="shared" si="3"/>
        <v>#DIV/0!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>
        <f>SUM(
IFERROR(VLOOKUP(E107,MATERIAUX!$A$1:$D$27,4,FALSE)*F107,0),
IFERROR(VLOOKUP(G107,MATERIAUX!$A$1:$D$27,4,FALSE)*H107,0),
IFERROR(VLOOKUP(I107,MATERIAUX!$A$1:$D$27,4,FALSE)*J107,0),
IFERROR(VLOOKUP(K107,MATERIAUX!$A$1:$D$27,4,FALSE)*L107,0),
IFERROR(VLOOKUP(M107,MATERIAUX!$A$1:$D$27,4,FALSE)*N107,0),
IFERROR(VLOOKUP(O107,MATERIAUX!$A$1:$D$27,4,FALSE)*P107,0)
)</f>
        <v>0</v>
      </c>
      <c r="R107" s="3"/>
      <c r="S107" s="3"/>
    </row>
    <row r="108" spans="1:19" ht="18.75">
      <c r="A108" s="5"/>
      <c r="B108" s="6"/>
      <c r="C108" s="6">
        <f t="shared" si="2"/>
        <v>0</v>
      </c>
      <c r="D108" s="15" t="e">
        <f t="shared" si="3"/>
        <v>#DIV/0!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>
        <f>SUM(
IFERROR(VLOOKUP(E108,MATERIAUX!$A$1:$D$27,4,FALSE)*F108,0),
IFERROR(VLOOKUP(G108,MATERIAUX!$A$1:$D$27,4,FALSE)*H108,0),
IFERROR(VLOOKUP(I108,MATERIAUX!$A$1:$D$27,4,FALSE)*J108,0),
IFERROR(VLOOKUP(K108,MATERIAUX!$A$1:$D$27,4,FALSE)*L108,0),
IFERROR(VLOOKUP(M108,MATERIAUX!$A$1:$D$27,4,FALSE)*N108,0),
IFERROR(VLOOKUP(O108,MATERIAUX!$A$1:$D$27,4,FALSE)*P108,0)
)</f>
        <v>0</v>
      </c>
      <c r="R108" s="3"/>
      <c r="S108" s="3"/>
    </row>
    <row r="109" spans="1:19" ht="18.75">
      <c r="A109" s="5"/>
      <c r="B109" s="6"/>
      <c r="C109" s="6">
        <f t="shared" si="2"/>
        <v>0</v>
      </c>
      <c r="D109" s="15" t="e">
        <f t="shared" si="3"/>
        <v>#DIV/0!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>
        <f>SUM(
IFERROR(VLOOKUP(E109,MATERIAUX!$A$1:$D$27,4,FALSE)*F109,0),
IFERROR(VLOOKUP(G109,MATERIAUX!$A$1:$D$27,4,FALSE)*H109,0),
IFERROR(VLOOKUP(I109,MATERIAUX!$A$1:$D$27,4,FALSE)*J109,0),
IFERROR(VLOOKUP(K109,MATERIAUX!$A$1:$D$27,4,FALSE)*L109,0),
IFERROR(VLOOKUP(M109,MATERIAUX!$A$1:$D$27,4,FALSE)*N109,0),
IFERROR(VLOOKUP(O109,MATERIAUX!$A$1:$D$27,4,FALSE)*P109,0)
)</f>
        <v>0</v>
      </c>
      <c r="R109" s="3"/>
      <c r="S109" s="3"/>
    </row>
    <row r="110" spans="1:19" ht="18.75">
      <c r="A110" s="5"/>
      <c r="B110" s="6"/>
      <c r="C110" s="6">
        <f t="shared" si="2"/>
        <v>0</v>
      </c>
      <c r="D110" s="15" t="e">
        <f t="shared" si="3"/>
        <v>#DIV/0!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>
        <f>SUM(
IFERROR(VLOOKUP(E110,MATERIAUX!$A$1:$D$27,4,FALSE)*F110,0),
IFERROR(VLOOKUP(G110,MATERIAUX!$A$1:$D$27,4,FALSE)*H110,0),
IFERROR(VLOOKUP(I110,MATERIAUX!$A$1:$D$27,4,FALSE)*J110,0),
IFERROR(VLOOKUP(K110,MATERIAUX!$A$1:$D$27,4,FALSE)*L110,0),
IFERROR(VLOOKUP(M110,MATERIAUX!$A$1:$D$27,4,FALSE)*N110,0),
IFERROR(VLOOKUP(O110,MATERIAUX!$A$1:$D$27,4,FALSE)*P110,0)
)</f>
        <v>0</v>
      </c>
      <c r="R110" s="3"/>
      <c r="S110" s="3"/>
    </row>
    <row r="111" spans="1:19" ht="18.75">
      <c r="A111" s="5"/>
      <c r="B111" s="6"/>
      <c r="C111" s="6">
        <f t="shared" si="2"/>
        <v>0</v>
      </c>
      <c r="D111" s="15" t="e">
        <f t="shared" si="3"/>
        <v>#DIV/0!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>
        <f>SUM(
IFERROR(VLOOKUP(E111,MATERIAUX!$A$1:$D$27,4,FALSE)*F111,0),
IFERROR(VLOOKUP(G111,MATERIAUX!$A$1:$D$27,4,FALSE)*H111,0),
IFERROR(VLOOKUP(I111,MATERIAUX!$A$1:$D$27,4,FALSE)*J111,0),
IFERROR(VLOOKUP(K111,MATERIAUX!$A$1:$D$27,4,FALSE)*L111,0),
IFERROR(VLOOKUP(M111,MATERIAUX!$A$1:$D$27,4,FALSE)*N111,0),
IFERROR(VLOOKUP(O111,MATERIAUX!$A$1:$D$27,4,FALSE)*P111,0)
)</f>
        <v>0</v>
      </c>
      <c r="R111" s="3"/>
      <c r="S111" s="3"/>
    </row>
    <row r="112" spans="1:19" ht="18.75">
      <c r="A112" s="5"/>
      <c r="B112" s="6"/>
      <c r="C112" s="6">
        <f t="shared" si="2"/>
        <v>0</v>
      </c>
      <c r="D112" s="15" t="e">
        <f t="shared" si="3"/>
        <v>#DIV/0!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>
        <f>SUM(
IFERROR(VLOOKUP(E112,MATERIAUX!$A$1:$D$27,4,FALSE)*F112,0),
IFERROR(VLOOKUP(G112,MATERIAUX!$A$1:$D$27,4,FALSE)*H112,0),
IFERROR(VLOOKUP(I112,MATERIAUX!$A$1:$D$27,4,FALSE)*J112,0),
IFERROR(VLOOKUP(K112,MATERIAUX!$A$1:$D$27,4,FALSE)*L112,0),
IFERROR(VLOOKUP(M112,MATERIAUX!$A$1:$D$27,4,FALSE)*N112,0),
IFERROR(VLOOKUP(O112,MATERIAUX!$A$1:$D$27,4,FALSE)*P112,0)
)</f>
        <v>0</v>
      </c>
      <c r="R112" s="3"/>
      <c r="S112" s="3"/>
    </row>
    <row r="113" spans="1:19" ht="18.75">
      <c r="A113" s="5"/>
      <c r="B113" s="6"/>
      <c r="C113" s="6">
        <f t="shared" si="2"/>
        <v>0</v>
      </c>
      <c r="D113" s="15" t="e">
        <f t="shared" si="3"/>
        <v>#DIV/0!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>
        <f>SUM(
IFERROR(VLOOKUP(E113,MATERIAUX!$A$1:$D$27,4,FALSE)*F113,0),
IFERROR(VLOOKUP(G113,MATERIAUX!$A$1:$D$27,4,FALSE)*H113,0),
IFERROR(VLOOKUP(I113,MATERIAUX!$A$1:$D$27,4,FALSE)*J113,0),
IFERROR(VLOOKUP(K113,MATERIAUX!$A$1:$D$27,4,FALSE)*L113,0),
IFERROR(VLOOKUP(M113,MATERIAUX!$A$1:$D$27,4,FALSE)*N113,0),
IFERROR(VLOOKUP(O113,MATERIAUX!$A$1:$D$27,4,FALSE)*P113,0)
)</f>
        <v>0</v>
      </c>
      <c r="R113" s="3"/>
      <c r="S113" s="3"/>
    </row>
    <row r="114" spans="1:19" ht="18.75">
      <c r="A114" s="5"/>
      <c r="B114" s="6"/>
      <c r="C114" s="6">
        <f t="shared" si="2"/>
        <v>0</v>
      </c>
      <c r="D114" s="15" t="e">
        <f t="shared" si="3"/>
        <v>#DIV/0!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>
        <f>SUM(
IFERROR(VLOOKUP(E114,MATERIAUX!$A$1:$D$27,4,FALSE)*F114,0),
IFERROR(VLOOKUP(G114,MATERIAUX!$A$1:$D$27,4,FALSE)*H114,0),
IFERROR(VLOOKUP(I114,MATERIAUX!$A$1:$D$27,4,FALSE)*J114,0),
IFERROR(VLOOKUP(K114,MATERIAUX!$A$1:$D$27,4,FALSE)*L114,0),
IFERROR(VLOOKUP(M114,MATERIAUX!$A$1:$D$27,4,FALSE)*N114,0),
IFERROR(VLOOKUP(O114,MATERIAUX!$A$1:$D$27,4,FALSE)*P114,0)
)</f>
        <v>0</v>
      </c>
      <c r="R114" s="3"/>
      <c r="S114" s="3"/>
    </row>
    <row r="115" spans="1:19" ht="18.75">
      <c r="A115" s="5"/>
      <c r="B115" s="6"/>
      <c r="C115" s="6">
        <f t="shared" si="2"/>
        <v>0</v>
      </c>
      <c r="D115" s="15" t="e">
        <f t="shared" si="3"/>
        <v>#DIV/0!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>
        <f>SUM(
IFERROR(VLOOKUP(E115,MATERIAUX!$A$1:$D$27,4,FALSE)*F115,0),
IFERROR(VLOOKUP(G115,MATERIAUX!$A$1:$D$27,4,FALSE)*H115,0),
IFERROR(VLOOKUP(I115,MATERIAUX!$A$1:$D$27,4,FALSE)*J115,0),
IFERROR(VLOOKUP(K115,MATERIAUX!$A$1:$D$27,4,FALSE)*L115,0),
IFERROR(VLOOKUP(M115,MATERIAUX!$A$1:$D$27,4,FALSE)*N115,0),
IFERROR(VLOOKUP(O115,MATERIAUX!$A$1:$D$27,4,FALSE)*P115,0)
)</f>
        <v>0</v>
      </c>
      <c r="R115" s="3"/>
      <c r="S115" s="3"/>
    </row>
    <row r="116" spans="1:19" ht="18.75">
      <c r="A116" s="5"/>
      <c r="B116" s="6"/>
      <c r="C116" s="6">
        <f t="shared" si="2"/>
        <v>0</v>
      </c>
      <c r="D116" s="15" t="e">
        <f t="shared" si="3"/>
        <v>#DIV/0!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>
        <f>SUM(
IFERROR(VLOOKUP(E116,MATERIAUX!$A$1:$D$27,4,FALSE)*F116,0),
IFERROR(VLOOKUP(G116,MATERIAUX!$A$1:$D$27,4,FALSE)*H116,0),
IFERROR(VLOOKUP(I116,MATERIAUX!$A$1:$D$27,4,FALSE)*J116,0),
IFERROR(VLOOKUP(K116,MATERIAUX!$A$1:$D$27,4,FALSE)*L116,0),
IFERROR(VLOOKUP(M116,MATERIAUX!$A$1:$D$27,4,FALSE)*N116,0),
IFERROR(VLOOKUP(O116,MATERIAUX!$A$1:$D$27,4,FALSE)*P116,0)
)</f>
        <v>0</v>
      </c>
      <c r="R116" s="3"/>
      <c r="S116" s="3"/>
    </row>
    <row r="117" spans="1:19" ht="18.75">
      <c r="A117" s="5"/>
      <c r="B117" s="6"/>
      <c r="C117" s="6">
        <f t="shared" si="2"/>
        <v>0</v>
      </c>
      <c r="D117" s="15" t="e">
        <f t="shared" si="3"/>
        <v>#DIV/0!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>
        <f>SUM(
IFERROR(VLOOKUP(E117,MATERIAUX!$A$1:$D$27,4,FALSE)*F117,0),
IFERROR(VLOOKUP(G117,MATERIAUX!$A$1:$D$27,4,FALSE)*H117,0),
IFERROR(VLOOKUP(I117,MATERIAUX!$A$1:$D$27,4,FALSE)*J117,0),
IFERROR(VLOOKUP(K117,MATERIAUX!$A$1:$D$27,4,FALSE)*L117,0),
IFERROR(VLOOKUP(M117,MATERIAUX!$A$1:$D$27,4,FALSE)*N117,0),
IFERROR(VLOOKUP(O117,MATERIAUX!$A$1:$D$27,4,FALSE)*P117,0)
)</f>
        <v>0</v>
      </c>
      <c r="R117" s="3"/>
      <c r="S117" s="3"/>
    </row>
    <row r="118" spans="1:1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3"/>
      <c r="S118" s="3"/>
    </row>
    <row r="119" spans="1:19" ht="1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3"/>
      <c r="S119" s="3"/>
    </row>
    <row r="120" spans="1:1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3"/>
      <c r="S120" s="3"/>
    </row>
    <row r="121" spans="1:19" ht="20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3"/>
      <c r="S121" s="3"/>
    </row>
    <row r="122" spans="1:19" ht="29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3"/>
      <c r="S122" s="3"/>
    </row>
    <row r="123" spans="1:1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</sheetData>
  <sheetProtection algorithmName="SHA-512" hashValue="ztYMO0BUx5HRw/SBQK60ATSStDoe4vPNLH0yNcPLKM5gYVojLUla4/h09H0wANeYeDFpr5aKcHzrQhBlYiWWew==" saltValue="DDGCH9LMkajyfxQrBdl1AQ==" spinCount="100000" sheet="1" objects="1" scenarios="1"/>
  <protectedRanges>
    <protectedRange sqref="A1:P117" name="Plage1"/>
  </protectedRange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20A2-3636-40DD-B503-1C8A25102E55}">
  <dimension ref="A1:D29"/>
  <sheetViews>
    <sheetView workbookViewId="0">
      <selection activeCell="D7" sqref="D7"/>
    </sheetView>
  </sheetViews>
  <sheetFormatPr defaultRowHeight="15"/>
  <cols>
    <col min="1" max="1" width="38.42578125" customWidth="1"/>
    <col min="2" max="2" width="24.28515625" customWidth="1"/>
    <col min="3" max="3" width="20.85546875" customWidth="1"/>
    <col min="4" max="4" width="26" customWidth="1"/>
    <col min="9" max="9" width="63.5703125" customWidth="1"/>
  </cols>
  <sheetData>
    <row r="1" spans="1:4" ht="18.75">
      <c r="A1" s="13" t="s">
        <v>12</v>
      </c>
      <c r="B1" s="13" t="s">
        <v>125</v>
      </c>
      <c r="C1" s="13" t="s">
        <v>126</v>
      </c>
      <c r="D1" s="13" t="s">
        <v>127</v>
      </c>
    </row>
    <row r="2" spans="1:4">
      <c r="A2" s="14" t="s">
        <v>128</v>
      </c>
      <c r="B2" s="14">
        <v>1</v>
      </c>
      <c r="C2" s="14">
        <v>15</v>
      </c>
      <c r="D2" s="14">
        <f>B2/C2</f>
        <v>6.6666666666666666E-2</v>
      </c>
    </row>
    <row r="3" spans="1:4">
      <c r="A3" s="14" t="s">
        <v>37</v>
      </c>
      <c r="B3" s="14">
        <v>1</v>
      </c>
      <c r="C3" s="14">
        <v>10</v>
      </c>
      <c r="D3" s="14">
        <f t="shared" ref="D3:D14" si="0">B3/C3</f>
        <v>0.1</v>
      </c>
    </row>
    <row r="4" spans="1:4">
      <c r="A4" s="14" t="s">
        <v>32</v>
      </c>
      <c r="B4" s="14">
        <v>3</v>
      </c>
      <c r="C4" s="14">
        <v>1</v>
      </c>
      <c r="D4" s="14">
        <f t="shared" si="0"/>
        <v>3</v>
      </c>
    </row>
    <row r="5" spans="1:4">
      <c r="A5" s="14" t="s">
        <v>78</v>
      </c>
      <c r="B5" s="14">
        <v>3</v>
      </c>
      <c r="C5" s="14">
        <v>4</v>
      </c>
      <c r="D5" s="14">
        <f t="shared" si="0"/>
        <v>0.75</v>
      </c>
    </row>
    <row r="6" spans="1:4">
      <c r="A6" s="14" t="s">
        <v>101</v>
      </c>
      <c r="B6" s="14">
        <v>3</v>
      </c>
      <c r="C6" s="14">
        <v>1</v>
      </c>
      <c r="D6" s="14">
        <f t="shared" si="0"/>
        <v>3</v>
      </c>
    </row>
    <row r="7" spans="1:4">
      <c r="A7" s="14" t="s">
        <v>42</v>
      </c>
      <c r="B7" s="14">
        <v>10</v>
      </c>
      <c r="C7" s="14">
        <v>1</v>
      </c>
      <c r="D7" s="14">
        <f t="shared" si="0"/>
        <v>10</v>
      </c>
    </row>
    <row r="8" spans="1:4">
      <c r="A8" s="14" t="s">
        <v>97</v>
      </c>
      <c r="B8" s="14">
        <v>50</v>
      </c>
      <c r="C8" s="14">
        <v>1</v>
      </c>
      <c r="D8" s="14">
        <f t="shared" si="0"/>
        <v>50</v>
      </c>
    </row>
    <row r="9" spans="1:4">
      <c r="A9" s="14" t="s">
        <v>107</v>
      </c>
      <c r="B9" s="14">
        <v>10</v>
      </c>
      <c r="C9" s="14">
        <v>1</v>
      </c>
      <c r="D9" s="14">
        <f t="shared" si="0"/>
        <v>10</v>
      </c>
    </row>
    <row r="10" spans="1:4">
      <c r="A10" s="14" t="s">
        <v>41</v>
      </c>
      <c r="B10" s="14">
        <v>4</v>
      </c>
      <c r="C10" s="14">
        <v>1</v>
      </c>
      <c r="D10" s="14">
        <f t="shared" si="0"/>
        <v>4</v>
      </c>
    </row>
    <row r="11" spans="1:4">
      <c r="A11" s="14" t="s">
        <v>122</v>
      </c>
      <c r="B11" s="14">
        <v>3</v>
      </c>
      <c r="C11" s="14">
        <v>1</v>
      </c>
      <c r="D11" s="14">
        <f t="shared" si="0"/>
        <v>3</v>
      </c>
    </row>
    <row r="12" spans="1:4">
      <c r="A12" s="14" t="s">
        <v>129</v>
      </c>
      <c r="B12" s="14">
        <v>1</v>
      </c>
      <c r="C12" s="14">
        <v>1</v>
      </c>
      <c r="D12" s="14">
        <f t="shared" si="0"/>
        <v>1</v>
      </c>
    </row>
    <row r="13" spans="1:4">
      <c r="A13" s="14" t="s">
        <v>30</v>
      </c>
      <c r="B13" s="14">
        <v>1</v>
      </c>
      <c r="C13" s="14">
        <v>3</v>
      </c>
      <c r="D13" s="14">
        <f t="shared" si="0"/>
        <v>0.33333333333333331</v>
      </c>
    </row>
    <row r="14" spans="1:4">
      <c r="A14" s="14" t="s">
        <v>130</v>
      </c>
      <c r="B14" s="14">
        <v>850</v>
      </c>
      <c r="C14" s="14">
        <v>1</v>
      </c>
      <c r="D14" s="14">
        <f t="shared" si="0"/>
        <v>850</v>
      </c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</sheetData>
  <sheetProtection algorithmName="SHA-512" hashValue="Epw+eQmevGna9Es+xNUn+lI2SUORDsueA/J40BGl+1OUSacmGDMK0sAPVEHiyLTXuhRk5Z52zAAPuA6ePfdahA==" saltValue="pwH/xCiZjfDJaatqrsEIjg==" spinCount="100000" sheet="1" objects="1" scenarios="1"/>
  <protectedRanges>
    <protectedRange sqref="A1:C14" name="Plage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2026-07-24T19:54:00Z</dcterms:created>
  <dcterms:modified xsi:type="dcterms:W3CDTF">2026-07-27T09:52:51Z</dcterms:modified>
  <cp:category/>
  <cp:contentStatus/>
</cp:coreProperties>
</file>